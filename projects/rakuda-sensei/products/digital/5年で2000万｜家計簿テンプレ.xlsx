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月次記入" sheetId="2" state="visible" r:id="rId2"/>
    <sheet name="集計" sheetId="3" state="visible" r:id="rId3"/>
    <sheet name="投資配分" sheetId="4" state="visible" r:id="rId4"/>
    <sheet name="目標シミュレー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sz val="24"/>
    </font>
    <font>
      <name val="メイリオ"/>
      <b val="1"/>
      <color rgb="003D2F1F"/>
      <sz val="20"/>
    </font>
    <font>
      <name val="メイリオ"/>
      <sz val="10"/>
    </font>
    <font>
      <name val="メイリオ"/>
      <b val="1"/>
      <color rgb="008B6F47"/>
      <sz val="14"/>
    </font>
    <font>
      <name val="メイリオ"/>
      <b val="1"/>
      <color rgb="003D2F1F"/>
      <sz val="14"/>
    </font>
    <font>
      <name val="メイリオ"/>
      <b val="1"/>
      <color rgb="00FFFFFF"/>
      <sz val="11"/>
    </font>
    <font>
      <name val="メイリオ"/>
      <b val="1"/>
      <color rgb="003D2F1F"/>
      <sz val="11"/>
    </font>
  </fonts>
  <fills count="9">
    <fill>
      <patternFill/>
    </fill>
    <fill>
      <patternFill patternType="gray125"/>
    </fill>
    <fill>
      <patternFill patternType="solid">
        <fgColor rgb="008B6F47"/>
        <bgColor rgb="008B6F47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F8BBD0"/>
        <bgColor rgb="00F8BBD0"/>
      </patternFill>
    </fill>
    <fill>
      <patternFill patternType="solid">
        <fgColor rgb="00BBDEFB"/>
        <bgColor rgb="00BBDEFB"/>
      </patternFill>
    </fill>
    <fill>
      <patternFill patternType="solid">
        <fgColor rgb="00FDF6E3"/>
        <bgColor rgb="00FDF6E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pivotButton="0" quotePrefix="0" xfId="0"/>
    <xf numFmtId="3" fontId="0" fillId="0" borderId="1" pivotButton="0" quotePrefix="0" xfId="0"/>
    <xf numFmtId="1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🐪</t>
        </is>
      </c>
      <c r="B1" s="2" t="inlineStr">
        <is>
          <t>残業嫌いのらくだ先生 家計簿テンプレ</t>
        </is>
      </c>
    </row>
    <row r="3">
      <c r="B3" s="3" t="inlineStr"/>
    </row>
    <row r="4">
      <c r="B4" s="4" t="inlineStr">
        <is>
          <t>■ このテンプレで何ができるか</t>
        </is>
      </c>
    </row>
    <row r="5">
      <c r="B5" s="3" t="inlineStr">
        <is>
          <t>・毎月の固定費・変動費・収入を1ファイルで管理</t>
        </is>
      </c>
    </row>
    <row r="6">
      <c r="B6" s="3" t="inlineStr">
        <is>
          <t>・年間の貯蓄率・投資率を自動計算</t>
        </is>
      </c>
    </row>
    <row r="7">
      <c r="B7" s="3" t="inlineStr">
        <is>
          <t>・「先取り投資 → 生活 → 貯金」の順番でお金を回す仕組み</t>
        </is>
      </c>
    </row>
    <row r="8">
      <c r="B8" s="3" t="inlineStr">
        <is>
          <t>・公務員教員 (20代・実家暮らし) のリアル数字を例として埋め込み済み</t>
        </is>
      </c>
    </row>
    <row r="9">
      <c r="B9" s="3" t="inlineStr"/>
    </row>
    <row r="10">
      <c r="B10" s="4" t="inlineStr">
        <is>
          <t>■ 使い方</t>
        </is>
      </c>
    </row>
    <row r="11">
      <c r="B11" s="3" t="inlineStr">
        <is>
          <t>1. シート「月次記入」のC列に毎月の金額を入力するだけ</t>
        </is>
      </c>
    </row>
    <row r="12">
      <c r="B12" s="3" t="inlineStr">
        <is>
          <t>2. 「集計」シートに年間の貯蓄率・投資配分が自動表示</t>
        </is>
      </c>
    </row>
    <row r="13">
      <c r="B13" s="3" t="inlineStr">
        <is>
          <t>3. 「投資配分」シートでNISA積立の銘柄管理</t>
        </is>
      </c>
    </row>
    <row r="14">
      <c r="B14" s="3" t="inlineStr">
        <is>
          <t>4. 「目標シミュレータ」で何年で2000万に届くか試算</t>
        </is>
      </c>
    </row>
    <row r="15">
      <c r="B15" s="3" t="inlineStr"/>
    </row>
    <row r="16">
      <c r="B16" s="4" t="inlineStr">
        <is>
          <t>■ ぼくのリアル数字 (参考)</t>
        </is>
      </c>
    </row>
    <row r="17">
      <c r="B17" s="3" t="inlineStr">
        <is>
          <t>・固定費: 月4.5万円 (実家へ3万・通信5千・ガソリン5千・サブスク5千)</t>
        </is>
      </c>
    </row>
    <row r="18">
      <c r="B18" s="3" t="inlineStr">
        <is>
          <t>・娯楽費: 月5万円 (上限目安)</t>
        </is>
      </c>
    </row>
    <row r="19">
      <c r="B19" s="3" t="inlineStr">
        <is>
          <t>・NISA積立: 月15万円 (自動天引き)</t>
        </is>
      </c>
    </row>
    <row r="20">
      <c r="B20" s="3" t="inlineStr">
        <is>
          <t>・配分: オルカン+S&amp;P500=80% / NASDAQ100=15% / FANG+ゴールド=5%</t>
        </is>
      </c>
    </row>
    <row r="21">
      <c r="B21" s="3" t="inlineStr">
        <is>
          <t>・5年で累計2000万円 (節約60% + 投資40%)</t>
        </is>
      </c>
    </row>
    <row r="22">
      <c r="B22" s="3" t="inlineStr">
        <is>
          <t>・失敗: 日本株デイトレで-50万 (やめてインデックスに振り切った)</t>
        </is>
      </c>
    </row>
    <row r="23">
      <c r="B23" s="3" t="inlineStr"/>
    </row>
    <row r="24">
      <c r="B24" s="4" t="inlineStr">
        <is>
          <t>■ 1番伝えたいこと</t>
        </is>
      </c>
    </row>
    <row r="25">
      <c r="B25" s="3" t="inlineStr">
        <is>
          <t>「タイミングを狙うのをやめる」「先取りで自動天引き」「残ったお金で生きる」</t>
        </is>
      </c>
    </row>
    <row r="26">
      <c r="B26" s="3" t="inlineStr">
        <is>
          <t>この3つを5年やったら、教員でも2000万になります。</t>
        </is>
      </c>
    </row>
    <row r="27">
      <c r="B27" s="3" t="inlineStr"/>
    </row>
    <row r="28">
      <c r="B28" s="4" t="inlineStr">
        <is>
          <t>■ 不明点があれば</t>
        </is>
      </c>
    </row>
    <row r="29">
      <c r="B29" s="3" t="inlineStr">
        <is>
          <t>X @rakuda_sensei までDMください。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月次記入シート（C-N列に毎月の金額を入力）</t>
        </is>
      </c>
    </row>
    <row r="3">
      <c r="A3" s="6" t="inlineStr">
        <is>
          <t>大項目</t>
        </is>
      </c>
      <c r="B3" s="6" t="inlineStr">
        <is>
          <t>詳細</t>
        </is>
      </c>
      <c r="C3" s="6" t="inlineStr">
        <is>
          <t>1月</t>
        </is>
      </c>
      <c r="D3" s="6" t="inlineStr">
        <is>
          <t>2月</t>
        </is>
      </c>
      <c r="E3" s="6" t="inlineStr">
        <is>
          <t>3月</t>
        </is>
      </c>
      <c r="F3" s="6" t="inlineStr">
        <is>
          <t>4月</t>
        </is>
      </c>
      <c r="G3" s="6" t="inlineStr">
        <is>
          <t>5月</t>
        </is>
      </c>
      <c r="H3" s="6" t="inlineStr">
        <is>
          <t>6月</t>
        </is>
      </c>
      <c r="I3" s="6" t="inlineStr">
        <is>
          <t>7月</t>
        </is>
      </c>
      <c r="J3" s="6" t="inlineStr">
        <is>
          <t>8月</t>
        </is>
      </c>
      <c r="K3" s="6" t="inlineStr">
        <is>
          <t>9月</t>
        </is>
      </c>
      <c r="L3" s="6" t="inlineStr">
        <is>
          <t>10月</t>
        </is>
      </c>
      <c r="M3" s="6" t="inlineStr">
        <is>
          <t>11月</t>
        </is>
      </c>
      <c r="N3" s="6" t="inlineStr">
        <is>
          <t>12月</t>
        </is>
      </c>
    </row>
    <row r="4">
      <c r="A4" s="7" t="inlineStr">
        <is>
          <t>収入</t>
        </is>
      </c>
      <c r="B4" s="8" t="inlineStr">
        <is>
          <t>本業手取り</t>
        </is>
      </c>
      <c r="C4" s="9" t="n">
        <v>280000</v>
      </c>
      <c r="D4" s="9" t="n">
        <v>280000</v>
      </c>
      <c r="E4" s="9" t="n">
        <v>280000</v>
      </c>
      <c r="F4" s="9" t="n">
        <v>280000</v>
      </c>
      <c r="G4" s="9" t="n">
        <v>280000</v>
      </c>
      <c r="H4" s="9" t="n">
        <v>280000</v>
      </c>
      <c r="I4" s="9" t="n">
        <v>280000</v>
      </c>
      <c r="J4" s="9" t="n">
        <v>280000</v>
      </c>
      <c r="K4" s="9" t="n">
        <v>280000</v>
      </c>
      <c r="L4" s="9" t="n">
        <v>280000</v>
      </c>
      <c r="M4" s="9" t="n">
        <v>280000</v>
      </c>
      <c r="N4" s="9" t="n">
        <v>280000</v>
      </c>
    </row>
    <row r="5">
      <c r="A5" s="7" t="inlineStr">
        <is>
          <t>収入</t>
        </is>
      </c>
      <c r="B5" s="8" t="inlineStr">
        <is>
          <t>副業</t>
        </is>
      </c>
      <c r="C5" s="9" t="n">
        <v>30000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</row>
    <row r="6">
      <c r="A6" s="7" t="inlineStr">
        <is>
          <t>収入</t>
        </is>
      </c>
      <c r="B6" s="8" t="inlineStr">
        <is>
          <t>ボードゲーム会収入</t>
        </is>
      </c>
      <c r="C6" s="9" t="n">
        <v>15000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</row>
    <row r="7">
      <c r="A7" s="7" t="inlineStr">
        <is>
          <t>収入</t>
        </is>
      </c>
      <c r="B7" s="8" t="inlineStr">
        <is>
          <t>合計</t>
        </is>
      </c>
      <c r="C7" s="9">
        <f>SUM(C4:C6)</f>
        <v/>
      </c>
      <c r="D7" s="9">
        <f>SUM(D4:D6)</f>
        <v/>
      </c>
      <c r="E7" s="9">
        <f>SUM(E4:E6)</f>
        <v/>
      </c>
      <c r="F7" s="9">
        <f>SUM(F4:F6)</f>
        <v/>
      </c>
      <c r="G7" s="9">
        <f>SUM(G4:G6)</f>
        <v/>
      </c>
      <c r="H7" s="9">
        <f>SUM(H4:H6)</f>
        <v/>
      </c>
      <c r="I7" s="9">
        <f>SUM(I4:I6)</f>
        <v/>
      </c>
      <c r="J7" s="9">
        <f>SUM(J4:J6)</f>
        <v/>
      </c>
      <c r="K7" s="9">
        <f>SUM(K4:K6)</f>
        <v/>
      </c>
      <c r="L7" s="9">
        <f>SUM(L4:L6)</f>
        <v/>
      </c>
      <c r="M7" s="9">
        <f>SUM(M4:M6)</f>
        <v/>
      </c>
      <c r="N7" s="9">
        <f>SUM(N4:N6)</f>
        <v/>
      </c>
    </row>
    <row r="8">
      <c r="A8" s="10" t="inlineStr">
        <is>
          <t>先取り</t>
        </is>
      </c>
      <c r="B8" s="8" t="inlineStr">
        <is>
          <t>NISA積立 (自動)</t>
        </is>
      </c>
      <c r="C8" s="9" t="n">
        <v>150000</v>
      </c>
      <c r="D8" s="9" t="n">
        <v>150000</v>
      </c>
      <c r="E8" s="9" t="n">
        <v>150000</v>
      </c>
      <c r="F8" s="9" t="n">
        <v>150000</v>
      </c>
      <c r="G8" s="9" t="n">
        <v>150000</v>
      </c>
      <c r="H8" s="9" t="n">
        <v>150000</v>
      </c>
      <c r="I8" s="9" t="n">
        <v>150000</v>
      </c>
      <c r="J8" s="9" t="n">
        <v>150000</v>
      </c>
      <c r="K8" s="9" t="n">
        <v>150000</v>
      </c>
      <c r="L8" s="9" t="n">
        <v>150000</v>
      </c>
      <c r="M8" s="9" t="n">
        <v>150000</v>
      </c>
      <c r="N8" s="9" t="n">
        <v>150000</v>
      </c>
    </row>
    <row r="9">
      <c r="A9" s="10" t="inlineStr">
        <is>
          <t>先取り</t>
        </is>
      </c>
      <c r="B9" s="8" t="inlineStr">
        <is>
          <t>米株タイミング購入</t>
        </is>
      </c>
      <c r="C9" s="9" t="n">
        <v>30000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</row>
    <row r="10">
      <c r="A10" s="10" t="inlineStr">
        <is>
          <t>先取り</t>
        </is>
      </c>
      <c r="B10" s="8" t="inlineStr">
        <is>
          <t>投資合計</t>
        </is>
      </c>
      <c r="C10" s="9">
        <f>SUM(C8:C9)</f>
        <v/>
      </c>
      <c r="D10" s="9">
        <f>SUM(D8:D9)</f>
        <v/>
      </c>
      <c r="E10" s="9">
        <f>SUM(E8:E9)</f>
        <v/>
      </c>
      <c r="F10" s="9">
        <f>SUM(F8:F9)</f>
        <v/>
      </c>
      <c r="G10" s="9">
        <f>SUM(G8:G9)</f>
        <v/>
      </c>
      <c r="H10" s="9">
        <f>SUM(H8:H9)</f>
        <v/>
      </c>
      <c r="I10" s="9">
        <f>SUM(I8:I9)</f>
        <v/>
      </c>
      <c r="J10" s="9">
        <f>SUM(J8:J9)</f>
        <v/>
      </c>
      <c r="K10" s="9">
        <f>SUM(K8:K9)</f>
        <v/>
      </c>
      <c r="L10" s="9">
        <f>SUM(L8:L9)</f>
        <v/>
      </c>
      <c r="M10" s="9">
        <f>SUM(M8:M9)</f>
        <v/>
      </c>
      <c r="N10" s="9">
        <f>SUM(N8:N9)</f>
        <v/>
      </c>
    </row>
    <row r="11">
      <c r="A11" s="11" t="inlineStr">
        <is>
          <t>固定費</t>
        </is>
      </c>
      <c r="B11" s="8" t="inlineStr">
        <is>
          <t>実家へ生活費</t>
        </is>
      </c>
      <c r="C11" s="9" t="n">
        <v>30000</v>
      </c>
      <c r="D11" s="9" t="n">
        <v>30000</v>
      </c>
      <c r="E11" s="9" t="n">
        <v>30000</v>
      </c>
      <c r="F11" s="9" t="n">
        <v>30000</v>
      </c>
      <c r="G11" s="9" t="n">
        <v>30000</v>
      </c>
      <c r="H11" s="9" t="n">
        <v>30000</v>
      </c>
      <c r="I11" s="9" t="n">
        <v>30000</v>
      </c>
      <c r="J11" s="9" t="n">
        <v>30000</v>
      </c>
      <c r="K11" s="9" t="n">
        <v>30000</v>
      </c>
      <c r="L11" s="9" t="n">
        <v>30000</v>
      </c>
      <c r="M11" s="9" t="n">
        <v>30000</v>
      </c>
      <c r="N11" s="9" t="n">
        <v>30000</v>
      </c>
    </row>
    <row r="12">
      <c r="A12" s="11" t="inlineStr">
        <is>
          <t>固定費</t>
        </is>
      </c>
      <c r="B12" s="8" t="inlineStr">
        <is>
          <t>通信費</t>
        </is>
      </c>
      <c r="C12" s="9" t="n">
        <v>5000</v>
      </c>
      <c r="D12" s="9" t="n">
        <v>5000</v>
      </c>
      <c r="E12" s="9" t="n">
        <v>5000</v>
      </c>
      <c r="F12" s="9" t="n">
        <v>5000</v>
      </c>
      <c r="G12" s="9" t="n">
        <v>5000</v>
      </c>
      <c r="H12" s="9" t="n">
        <v>5000</v>
      </c>
      <c r="I12" s="9" t="n">
        <v>5000</v>
      </c>
      <c r="J12" s="9" t="n">
        <v>5000</v>
      </c>
      <c r="K12" s="9" t="n">
        <v>5000</v>
      </c>
      <c r="L12" s="9" t="n">
        <v>5000</v>
      </c>
      <c r="M12" s="9" t="n">
        <v>5000</v>
      </c>
      <c r="N12" s="9" t="n">
        <v>5000</v>
      </c>
    </row>
    <row r="13">
      <c r="A13" s="11" t="inlineStr">
        <is>
          <t>固定費</t>
        </is>
      </c>
      <c r="B13" s="8" t="inlineStr">
        <is>
          <t>ガソリン</t>
        </is>
      </c>
      <c r="C13" s="9" t="n">
        <v>5000</v>
      </c>
      <c r="D13" s="9" t="n">
        <v>5000</v>
      </c>
      <c r="E13" s="9" t="n">
        <v>5000</v>
      </c>
      <c r="F13" s="9" t="n">
        <v>5000</v>
      </c>
      <c r="G13" s="9" t="n">
        <v>5000</v>
      </c>
      <c r="H13" s="9" t="n">
        <v>5000</v>
      </c>
      <c r="I13" s="9" t="n">
        <v>5000</v>
      </c>
      <c r="J13" s="9" t="n">
        <v>5000</v>
      </c>
      <c r="K13" s="9" t="n">
        <v>5000</v>
      </c>
      <c r="L13" s="9" t="n">
        <v>5000</v>
      </c>
      <c r="M13" s="9" t="n">
        <v>5000</v>
      </c>
      <c r="N13" s="9" t="n">
        <v>5000</v>
      </c>
    </row>
    <row r="14">
      <c r="A14" s="11" t="inlineStr">
        <is>
          <t>固定費</t>
        </is>
      </c>
      <c r="B14" s="8" t="inlineStr">
        <is>
          <t>サブスク</t>
        </is>
      </c>
      <c r="C14" s="9" t="n">
        <v>5000</v>
      </c>
      <c r="D14" s="9" t="n">
        <v>5000</v>
      </c>
      <c r="E14" s="9" t="n">
        <v>5000</v>
      </c>
      <c r="F14" s="9" t="n">
        <v>5000</v>
      </c>
      <c r="G14" s="9" t="n">
        <v>5000</v>
      </c>
      <c r="H14" s="9" t="n">
        <v>5000</v>
      </c>
      <c r="I14" s="9" t="n">
        <v>5000</v>
      </c>
      <c r="J14" s="9" t="n">
        <v>5000</v>
      </c>
      <c r="K14" s="9" t="n">
        <v>5000</v>
      </c>
      <c r="L14" s="9" t="n">
        <v>5000</v>
      </c>
      <c r="M14" s="9" t="n">
        <v>5000</v>
      </c>
      <c r="N14" s="9" t="n">
        <v>5000</v>
      </c>
    </row>
    <row r="15">
      <c r="A15" s="11" t="inlineStr">
        <is>
          <t>固定費</t>
        </is>
      </c>
      <c r="B15" s="8" t="inlineStr">
        <is>
          <t>合計</t>
        </is>
      </c>
      <c r="C15" s="9">
        <f>SUM(C11:C14)</f>
        <v/>
      </c>
      <c r="D15" s="9">
        <f>SUM(D11:D14)</f>
        <v/>
      </c>
      <c r="E15" s="9">
        <f>SUM(E11:E14)</f>
        <v/>
      </c>
      <c r="F15" s="9">
        <f>SUM(F11:F14)</f>
        <v/>
      </c>
      <c r="G15" s="9">
        <f>SUM(G11:G14)</f>
        <v/>
      </c>
      <c r="H15" s="9">
        <f>SUM(H11:H14)</f>
        <v/>
      </c>
      <c r="I15" s="9">
        <f>SUM(I11:I14)</f>
        <v/>
      </c>
      <c r="J15" s="9">
        <f>SUM(J11:J14)</f>
        <v/>
      </c>
      <c r="K15" s="9">
        <f>SUM(K11:K14)</f>
        <v/>
      </c>
      <c r="L15" s="9">
        <f>SUM(L11:L14)</f>
        <v/>
      </c>
      <c r="M15" s="9">
        <f>SUM(M11:M14)</f>
        <v/>
      </c>
      <c r="N15" s="9">
        <f>SUM(N11:N14)</f>
        <v/>
      </c>
    </row>
    <row r="16">
      <c r="A16" s="12" t="inlineStr">
        <is>
          <t>変動費</t>
        </is>
      </c>
      <c r="B16" s="8" t="inlineStr">
        <is>
          <t>食費 (外食含む)</t>
        </is>
      </c>
      <c r="C16" s="9" t="n">
        <v>25000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</row>
    <row r="17">
      <c r="A17" s="12" t="inlineStr">
        <is>
          <t>変動費</t>
        </is>
      </c>
      <c r="B17" s="8" t="inlineStr">
        <is>
          <t>娯楽費 (上限5万)</t>
        </is>
      </c>
      <c r="C17" s="9" t="n">
        <v>30000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</row>
    <row r="18">
      <c r="A18" s="12" t="inlineStr">
        <is>
          <t>変動費</t>
        </is>
      </c>
      <c r="B18" s="8" t="inlineStr">
        <is>
          <t>交際費</t>
        </is>
      </c>
      <c r="C18" s="9" t="n">
        <v>10000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</row>
    <row r="19">
      <c r="A19" s="12" t="inlineStr">
        <is>
          <t>変動費</t>
        </is>
      </c>
      <c r="B19" s="8" t="inlineStr">
        <is>
          <t>書籍・自己投資</t>
        </is>
      </c>
      <c r="C19" s="9" t="n">
        <v>5000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</row>
    <row r="20">
      <c r="A20" s="12" t="inlineStr">
        <is>
          <t>変動費</t>
        </is>
      </c>
      <c r="B20" s="8" t="inlineStr">
        <is>
          <t>予備費</t>
        </is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</row>
    <row r="21">
      <c r="A21" s="12" t="inlineStr">
        <is>
          <t>変動費</t>
        </is>
      </c>
      <c r="B21" s="8" t="inlineStr">
        <is>
          <t>合計</t>
        </is>
      </c>
      <c r="C21" s="9">
        <f>SUM(C16:C20)</f>
        <v/>
      </c>
      <c r="D21" s="9">
        <f>SUM(D16:D20)</f>
        <v/>
      </c>
      <c r="E21" s="9">
        <f>SUM(E16:E20)</f>
        <v/>
      </c>
      <c r="F21" s="9">
        <f>SUM(F16:F20)</f>
        <v/>
      </c>
      <c r="G21" s="9">
        <f>SUM(G16:G20)</f>
        <v/>
      </c>
      <c r="H21" s="9">
        <f>SUM(H16:H20)</f>
        <v/>
      </c>
      <c r="I21" s="9">
        <f>SUM(I16:I20)</f>
        <v/>
      </c>
      <c r="J21" s="9">
        <f>SUM(J16:J20)</f>
        <v/>
      </c>
      <c r="K21" s="9">
        <f>SUM(K16:K20)</f>
        <v/>
      </c>
      <c r="L21" s="9">
        <f>SUM(L16:L20)</f>
        <v/>
      </c>
      <c r="M21" s="9">
        <f>SUM(M16:M20)</f>
        <v/>
      </c>
      <c r="N21" s="9">
        <f>SUM(N16:N20)</f>
        <v/>
      </c>
    </row>
    <row r="22">
      <c r="A22" s="13" t="inlineStr">
        <is>
          <t>結果</t>
        </is>
      </c>
      <c r="B22" s="8" t="inlineStr">
        <is>
          <t>支出計</t>
        </is>
      </c>
      <c r="C22" s="9">
        <f>C15+C21</f>
        <v/>
      </c>
      <c r="D22" s="9">
        <f>D15+D21</f>
        <v/>
      </c>
      <c r="E22" s="9">
        <f>E15+E21</f>
        <v/>
      </c>
      <c r="F22" s="9">
        <f>F15+F21</f>
        <v/>
      </c>
      <c r="G22" s="9">
        <f>G15+G21</f>
        <v/>
      </c>
      <c r="H22" s="9">
        <f>H15+H21</f>
        <v/>
      </c>
      <c r="I22" s="9">
        <f>I15+I21</f>
        <v/>
      </c>
      <c r="J22" s="9">
        <f>J15+J21</f>
        <v/>
      </c>
      <c r="K22" s="9">
        <f>K15+K21</f>
        <v/>
      </c>
      <c r="L22" s="9">
        <f>L15+L21</f>
        <v/>
      </c>
      <c r="M22" s="9">
        <f>M15+M21</f>
        <v/>
      </c>
      <c r="N22" s="9">
        <f>N15+N21</f>
        <v/>
      </c>
    </row>
    <row r="23">
      <c r="A23" s="13" t="inlineStr">
        <is>
          <t>結果</t>
        </is>
      </c>
      <c r="B23" s="8" t="inlineStr">
        <is>
          <t>余剰金 → 貯金</t>
        </is>
      </c>
      <c r="C23" s="9">
        <f>C7-C10-C22</f>
        <v/>
      </c>
      <c r="D23" s="9">
        <f>D7-D10-D22</f>
        <v/>
      </c>
      <c r="E23" s="9">
        <f>E7-E10-E22</f>
        <v/>
      </c>
      <c r="F23" s="9">
        <f>F7-F10-F22</f>
        <v/>
      </c>
      <c r="G23" s="9">
        <f>G7-G10-G22</f>
        <v/>
      </c>
      <c r="H23" s="9">
        <f>H7-H10-H22</f>
        <v/>
      </c>
      <c r="I23" s="9">
        <f>I7-I10-I22</f>
        <v/>
      </c>
      <c r="J23" s="9">
        <f>J7-J10-J22</f>
        <v/>
      </c>
      <c r="K23" s="9">
        <f>K7-K10-K22</f>
        <v/>
      </c>
      <c r="L23" s="9">
        <f>L7-L10-L22</f>
        <v/>
      </c>
      <c r="M23" s="9">
        <f>M7-M10-M22</f>
        <v/>
      </c>
      <c r="N23" s="9">
        <f>N7-N10-N22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年間集計</t>
        </is>
      </c>
    </row>
    <row r="3">
      <c r="A3" s="6" t="inlineStr">
        <is>
          <t>項目</t>
        </is>
      </c>
      <c r="B3" s="6" t="inlineStr">
        <is>
          <t>年間合計</t>
        </is>
      </c>
      <c r="C3" s="6" t="inlineStr">
        <is>
          <t>月平均</t>
        </is>
      </c>
      <c r="D3" s="6" t="inlineStr">
        <is>
          <t>%</t>
        </is>
      </c>
    </row>
    <row r="4">
      <c r="A4" s="14" t="inlineStr">
        <is>
          <t>収入合計</t>
        </is>
      </c>
      <c r="B4" s="15">
        <f>SUM(月次記入!C7:N7)</f>
        <v/>
      </c>
      <c r="C4" s="15">
        <f>B4/12</f>
        <v/>
      </c>
    </row>
    <row r="5">
      <c r="A5" s="14" t="inlineStr">
        <is>
          <t>先取り投資合計</t>
        </is>
      </c>
      <c r="B5" s="15">
        <f>SUM(月次記入!C10:N10)</f>
        <v/>
      </c>
      <c r="C5" s="15">
        <f>B5/12</f>
        <v/>
      </c>
    </row>
    <row r="6">
      <c r="A6" s="14" t="inlineStr">
        <is>
          <t>固定費合計</t>
        </is>
      </c>
      <c r="B6" s="15">
        <f>SUM(月次記入!C15:N15)</f>
        <v/>
      </c>
      <c r="C6" s="15">
        <f>B6/12</f>
        <v/>
      </c>
    </row>
    <row r="7">
      <c r="A7" s="14" t="inlineStr">
        <is>
          <t>変動費合計</t>
        </is>
      </c>
      <c r="B7" s="15">
        <f>SUM(月次記入!C21:N21)</f>
        <v/>
      </c>
      <c r="C7" s="15">
        <f>B7/12</f>
        <v/>
      </c>
    </row>
    <row r="8">
      <c r="A8" s="14" t="inlineStr">
        <is>
          <t>支出合計</t>
        </is>
      </c>
      <c r="B8" s="15">
        <f>SUM(月次記入!C22:N22)</f>
        <v/>
      </c>
      <c r="C8" s="15">
        <f>B8/12</f>
        <v/>
      </c>
    </row>
    <row r="9">
      <c r="A9" s="14" t="inlineStr">
        <is>
          <t>年間貯蓄 (余剰)</t>
        </is>
      </c>
      <c r="B9" s="15">
        <f>SUM(月次記入!C23:N23)</f>
        <v/>
      </c>
      <c r="C9" s="15">
        <f>B9/12</f>
        <v/>
      </c>
    </row>
    <row r="10">
      <c r="A10" s="14" t="inlineStr">
        <is>
          <t>実質貯蓄率 (投資+貯金)</t>
        </is>
      </c>
      <c r="B10" s="15">
        <f>ROUND((B5+B8)/B4*100,1)</f>
        <v/>
      </c>
    </row>
    <row r="11">
      <c r="A11" s="14" t="inlineStr">
        <is>
          <t>投資比率</t>
        </is>
      </c>
      <c r="B11" s="15">
        <f>ROUND(B5/B4*100,1)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4" customWidth="1" min="4" max="4"/>
  </cols>
  <sheetData>
    <row r="1">
      <c r="A1" s="5" t="inlineStr">
        <is>
          <t>投資配分・銘柄管理</t>
        </is>
      </c>
    </row>
    <row r="3">
      <c r="A3" s="6" t="inlineStr">
        <is>
          <t>銘柄</t>
        </is>
      </c>
      <c r="B3" s="6" t="inlineStr">
        <is>
          <t>目標配分%</t>
        </is>
      </c>
      <c r="C3" s="6" t="inlineStr">
        <is>
          <t>月積立額</t>
        </is>
      </c>
      <c r="D3" s="6" t="inlineStr">
        <is>
          <t>メモ</t>
        </is>
      </c>
    </row>
    <row r="4">
      <c r="A4" s="8" t="inlineStr">
        <is>
          <t>オルカン (全世界株式)</t>
        </is>
      </c>
      <c r="B4" s="16" t="n">
        <v>40</v>
      </c>
      <c r="C4" s="15" t="n">
        <v>60000</v>
      </c>
      <c r="D4" s="17" t="inlineStr">
        <is>
          <t>コア配分・楽天 or eMAXIS Slim</t>
        </is>
      </c>
    </row>
    <row r="5">
      <c r="A5" s="8" t="inlineStr">
        <is>
          <t>S&amp;P500</t>
        </is>
      </c>
      <c r="B5" s="16" t="n">
        <v>40</v>
      </c>
      <c r="C5" s="15" t="n">
        <v>60000</v>
      </c>
      <c r="D5" s="17" t="inlineStr">
        <is>
          <t>コア配分・eMAXIS Slim or 楽天</t>
        </is>
      </c>
    </row>
    <row r="6">
      <c r="A6" s="8" t="inlineStr">
        <is>
          <t>NASDAQ100</t>
        </is>
      </c>
      <c r="B6" s="16" t="n">
        <v>15</v>
      </c>
      <c r="C6" s="15" t="n">
        <v>22500</v>
      </c>
      <c r="D6" s="17" t="inlineStr">
        <is>
          <t>成長重視・iFreeNEXT</t>
        </is>
      </c>
    </row>
    <row r="7">
      <c r="A7" s="8" t="inlineStr">
        <is>
          <t>FANG+</t>
        </is>
      </c>
      <c r="B7" s="16" t="n">
        <v>3</v>
      </c>
      <c r="C7" s="15" t="n">
        <v>4500</v>
      </c>
      <c r="D7" s="17" t="inlineStr">
        <is>
          <t>ハイリスク枠・米一歩先テック</t>
        </is>
      </c>
    </row>
    <row r="8">
      <c r="A8" s="8" t="inlineStr">
        <is>
          <t>ゴールド</t>
        </is>
      </c>
      <c r="B8" s="16" t="n">
        <v>2</v>
      </c>
      <c r="C8" s="15" t="n">
        <v>3000</v>
      </c>
      <c r="D8" s="17" t="inlineStr">
        <is>
          <t>ヘッジ・auAM</t>
        </is>
      </c>
    </row>
    <row r="9">
      <c r="A9" s="18" t="inlineStr">
        <is>
          <t>合計</t>
        </is>
      </c>
      <c r="B9" s="19">
        <f>SUM(B4:B8)</f>
        <v/>
      </c>
      <c r="C9" s="15">
        <f>SUM(C4:C8)</f>
        <v/>
      </c>
      <c r="D9" s="17" t="inlineStr">
        <is>
          <t>150,000円/月で5年で2000万に到達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</cols>
  <sheetData>
    <row r="1">
      <c r="A1" s="5" t="inlineStr">
        <is>
          <t>累計資産シミュレーション</t>
        </is>
      </c>
    </row>
    <row r="2">
      <c r="A2" t="inlineStr">
        <is>
          <t>入力: 月積立・想定年利を変えて、何年で目標額に届くか試算</t>
        </is>
      </c>
    </row>
    <row r="4">
      <c r="A4" s="20" t="inlineStr">
        <is>
          <t>月積立額</t>
        </is>
      </c>
      <c r="B4" s="21" t="n">
        <v>150000</v>
      </c>
    </row>
    <row r="5">
      <c r="A5" s="20" t="inlineStr">
        <is>
          <t>想定年利</t>
        </is>
      </c>
      <c r="B5" s="22" t="n">
        <v>0.05</v>
      </c>
    </row>
    <row r="6">
      <c r="A6" s="20" t="inlineStr">
        <is>
          <t>現在資産</t>
        </is>
      </c>
      <c r="B6" s="21" t="n">
        <v>0</v>
      </c>
    </row>
    <row r="8">
      <c r="A8" s="6" t="inlineStr">
        <is>
          <t>年数</t>
        </is>
      </c>
      <c r="B8" s="6" t="inlineStr">
        <is>
          <t>元本累計</t>
        </is>
      </c>
      <c r="C8" s="6" t="inlineStr">
        <is>
          <t>運用益込み資産</t>
        </is>
      </c>
      <c r="D8" s="6" t="inlineStr">
        <is>
          <t>達成判定 (2000万円)</t>
        </is>
      </c>
    </row>
    <row r="9">
      <c r="A9" t="n">
        <v>1</v>
      </c>
      <c r="B9" s="21">
        <f>$B$4*12*1+$B$6</f>
        <v/>
      </c>
      <c r="C9" s="21">
        <f>FV(-$B$5/12,12,-$B$4,-$B$6)</f>
        <v/>
      </c>
      <c r="D9" s="23">
        <f>IF(C9&gt;=20000000,"✓ 到達","")</f>
        <v/>
      </c>
    </row>
    <row r="10">
      <c r="A10" t="n">
        <v>2</v>
      </c>
      <c r="B10" s="21">
        <f>$B$4*12*2+$B$6</f>
        <v/>
      </c>
      <c r="C10" s="21">
        <f>FV(-$B$5/12,24,-$B$4,-$B$6)</f>
        <v/>
      </c>
      <c r="D10" s="23">
        <f>IF(C10&gt;=20000000,"✓ 到達","")</f>
        <v/>
      </c>
    </row>
    <row r="11">
      <c r="A11" t="n">
        <v>3</v>
      </c>
      <c r="B11" s="21">
        <f>$B$4*12*3+$B$6</f>
        <v/>
      </c>
      <c r="C11" s="21">
        <f>FV(-$B$5/12,36,-$B$4,-$B$6)</f>
        <v/>
      </c>
      <c r="D11" s="23">
        <f>IF(C11&gt;=20000000,"✓ 到達","")</f>
        <v/>
      </c>
    </row>
    <row r="12">
      <c r="A12" t="n">
        <v>4</v>
      </c>
      <c r="B12" s="21">
        <f>$B$4*12*4+$B$6</f>
        <v/>
      </c>
      <c r="C12" s="21">
        <f>FV(-$B$5/12,48,-$B$4,-$B$6)</f>
        <v/>
      </c>
      <c r="D12" s="23">
        <f>IF(C12&gt;=20000000,"✓ 到達","")</f>
        <v/>
      </c>
    </row>
    <row r="13">
      <c r="A13" t="n">
        <v>5</v>
      </c>
      <c r="B13" s="21">
        <f>$B$4*12*5+$B$6</f>
        <v/>
      </c>
      <c r="C13" s="21">
        <f>FV(-$B$5/12,60,-$B$4,-$B$6)</f>
        <v/>
      </c>
      <c r="D13" s="23">
        <f>IF(C13&gt;=20000000,"✓ 到達","")</f>
        <v/>
      </c>
    </row>
    <row r="14">
      <c r="A14" t="n">
        <v>6</v>
      </c>
      <c r="B14" s="21">
        <f>$B$4*12*6+$B$6</f>
        <v/>
      </c>
      <c r="C14" s="21">
        <f>FV(-$B$5/12,72,-$B$4,-$B$6)</f>
        <v/>
      </c>
      <c r="D14" s="23">
        <f>IF(C14&gt;=20000000,"✓ 到達","")</f>
        <v/>
      </c>
    </row>
    <row r="15">
      <c r="A15" t="n">
        <v>7</v>
      </c>
      <c r="B15" s="21">
        <f>$B$4*12*7+$B$6</f>
        <v/>
      </c>
      <c r="C15" s="21">
        <f>FV(-$B$5/12,84,-$B$4,-$B$6)</f>
        <v/>
      </c>
      <c r="D15" s="23">
        <f>IF(C15&gt;=20000000,"✓ 到達","")</f>
        <v/>
      </c>
    </row>
    <row r="16">
      <c r="A16" t="n">
        <v>8</v>
      </c>
      <c r="B16" s="21">
        <f>$B$4*12*8+$B$6</f>
        <v/>
      </c>
      <c r="C16" s="21">
        <f>FV(-$B$5/12,96,-$B$4,-$B$6)</f>
        <v/>
      </c>
      <c r="D16" s="23">
        <f>IF(C16&gt;=20000000,"✓ 到達","")</f>
        <v/>
      </c>
    </row>
    <row r="17">
      <c r="A17" t="n">
        <v>9</v>
      </c>
      <c r="B17" s="21">
        <f>$B$4*12*9+$B$6</f>
        <v/>
      </c>
      <c r="C17" s="21">
        <f>FV(-$B$5/12,108,-$B$4,-$B$6)</f>
        <v/>
      </c>
      <c r="D17" s="23">
        <f>IF(C17&gt;=20000000,"✓ 到達","")</f>
        <v/>
      </c>
    </row>
    <row r="18">
      <c r="A18" t="n">
        <v>10</v>
      </c>
      <c r="B18" s="21">
        <f>$B$4*12*10+$B$6</f>
        <v/>
      </c>
      <c r="C18" s="21">
        <f>FV(-$B$5/12,120,-$B$4,-$B$6)</f>
        <v/>
      </c>
      <c r="D18" s="23">
        <f>IF(C18&gt;=20000000,"✓ 到達","")</f>
        <v/>
      </c>
    </row>
    <row r="19">
      <c r="A19" t="n">
        <v>11</v>
      </c>
      <c r="B19" s="21">
        <f>$B$4*12*11+$B$6</f>
        <v/>
      </c>
      <c r="C19" s="21">
        <f>FV(-$B$5/12,132,-$B$4,-$B$6)</f>
        <v/>
      </c>
      <c r="D19" s="23">
        <f>IF(C19&gt;=20000000,"✓ 到達","")</f>
        <v/>
      </c>
    </row>
    <row r="20">
      <c r="A20" t="n">
        <v>12</v>
      </c>
      <c r="B20" s="21">
        <f>$B$4*12*12+$B$6</f>
        <v/>
      </c>
      <c r="C20" s="21">
        <f>FV(-$B$5/12,144,-$B$4,-$B$6)</f>
        <v/>
      </c>
      <c r="D20" s="23">
        <f>IF(C20&gt;=20000000,"✓ 到達","")</f>
        <v/>
      </c>
    </row>
    <row r="21">
      <c r="A21" t="n">
        <v>13</v>
      </c>
      <c r="B21" s="21">
        <f>$B$4*12*13+$B$6</f>
        <v/>
      </c>
      <c r="C21" s="21">
        <f>FV(-$B$5/12,156,-$B$4,-$B$6)</f>
        <v/>
      </c>
      <c r="D21" s="23">
        <f>IF(C21&gt;=20000000,"✓ 到達","")</f>
        <v/>
      </c>
    </row>
    <row r="22">
      <c r="A22" t="n">
        <v>14</v>
      </c>
      <c r="B22" s="21">
        <f>$B$4*12*14+$B$6</f>
        <v/>
      </c>
      <c r="C22" s="21">
        <f>FV(-$B$5/12,168,-$B$4,-$B$6)</f>
        <v/>
      </c>
      <c r="D22" s="23">
        <f>IF(C22&gt;=20000000,"✓ 到達","")</f>
        <v/>
      </c>
    </row>
    <row r="23">
      <c r="A23" t="n">
        <v>15</v>
      </c>
      <c r="B23" s="21">
        <f>$B$4*12*15+$B$6</f>
        <v/>
      </c>
      <c r="C23" s="21">
        <f>FV(-$B$5/12,180,-$B$4,-$B$6)</f>
        <v/>
      </c>
      <c r="D23" s="23">
        <f>IF(C23&gt;=20000000,"✓ 到達","")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2026-06-01T14:32:03Z</dcterms:created>
  <dcterms:modified xsi:type="dcterms:W3CDTF">2026-06-01T14:32:03Z</dcterms:modified>
</cp:coreProperties>
</file>