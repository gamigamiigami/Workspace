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0290" windowHeight="7500" tabRatio="600" firstSheet="0" activeTab="0" autoFilterDateGrouping="1"/>
  </bookViews>
  <sheets>
    <sheet name="使い方" sheetId="1" state="visible" r:id="rId1"/>
    <sheet name="一人暮らし用" sheetId="2" state="visible" r:id="rId2"/>
    <sheet name="ルームシェア用" sheetId="3" state="visible" r:id="rId3"/>
    <sheet name="用語集" sheetId="4" state="visible" r:id="rId4"/>
    <sheet name="らくだ先生について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name val="Meiryo UI"/>
      <charset val="128"/>
      <family val="3"/>
      <sz val="9"/>
    </font>
    <font>
      <name val="游ゴシック"/>
      <charset val="128"/>
      <family val="2"/>
      <color theme="1"/>
      <sz val="8"/>
      <scheme val="minor"/>
    </font>
    <font>
      <name val="游ゴシック"/>
      <charset val="128"/>
      <family val="3"/>
      <color theme="1"/>
      <sz val="8"/>
      <scheme val="minor"/>
    </font>
    <font>
      <name val="游ゴシック"/>
      <charset val="128"/>
      <family val="3"/>
      <b val="1"/>
      <i val="1"/>
      <color theme="1"/>
      <sz val="11"/>
      <scheme val="minor"/>
    </font>
    <font>
      <name val="游ゴシック"/>
      <charset val="128"/>
      <family val="3"/>
      <b val="1"/>
      <i val="1"/>
      <color rgb="FFFF0000"/>
      <sz val="11"/>
      <scheme val="minor"/>
    </font>
    <font>
      <name val="游ゴシック"/>
      <charset val="128"/>
      <family val="3"/>
      <b val="1"/>
      <color theme="1"/>
      <sz val="18"/>
      <scheme val="minor"/>
    </font>
    <font>
      <name val="メイリオ"/>
      <b val="1"/>
      <color rgb="003D2F1F"/>
      <sz val="18"/>
    </font>
    <font>
      <name val="メイリオ"/>
      <sz val="11"/>
    </font>
    <font>
      <name val="メイリオ"/>
      <b val="1"/>
      <color rgb="008B6F47"/>
      <sz val="13"/>
    </font>
    <font>
      <name val="メイリオ"/>
      <i val="1"/>
      <color rgb="008B6F47"/>
      <sz val="11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5999938962981048"/>
        <bgColor indexed="64"/>
      </patternFill>
    </fill>
  </fills>
  <borders count="17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1" fillId="0" borderId="0" applyAlignment="1">
      <alignment vertical="center"/>
    </xf>
    <xf numFmtId="38" fontId="1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164" fontId="0" fillId="2" borderId="4" applyAlignment="1" pivotButton="0" quotePrefix="0" xfId="0">
      <alignment vertical="center"/>
    </xf>
    <xf numFmtId="1" fontId="0" fillId="2" borderId="4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0" fillId="5" borderId="6" applyAlignment="1" pivotButton="0" quotePrefix="0" xfId="0">
      <alignment vertical="center"/>
    </xf>
    <xf numFmtId="38" fontId="0" fillId="5" borderId="7" applyAlignment="1" pivotButton="0" quotePrefix="0" xfId="1">
      <alignment vertical="center"/>
    </xf>
    <xf numFmtId="0" fontId="0" fillId="5" borderId="8" applyAlignment="1" pivotButton="0" quotePrefix="0" xfId="0">
      <alignment vertical="center"/>
    </xf>
    <xf numFmtId="0" fontId="0" fillId="5" borderId="9" applyAlignment="1" pivotButton="0" quotePrefix="0" xfId="0">
      <alignment vertical="center"/>
    </xf>
    <xf numFmtId="0" fontId="0" fillId="5" borderId="1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3" borderId="14" applyAlignment="1" pivotButton="0" quotePrefix="0" xfId="0">
      <alignment vertical="center"/>
    </xf>
    <xf numFmtId="0" fontId="2" fillId="3" borderId="15" applyAlignment="1" pivotButton="0" quotePrefix="0" xfId="0">
      <alignment vertical="center"/>
    </xf>
    <xf numFmtId="0" fontId="0" fillId="2" borderId="14" applyAlignment="1" pivotButton="0" quotePrefix="0" xfId="0">
      <alignment vertical="center"/>
    </xf>
    <xf numFmtId="164" fontId="0" fillId="2" borderId="15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" fontId="0" fillId="2" borderId="15" applyAlignment="1" pivotButton="0" quotePrefix="0" xfId="0">
      <alignment vertical="center"/>
    </xf>
    <xf numFmtId="1" fontId="0" fillId="0" borderId="15" applyAlignment="1" pivotButton="0" quotePrefix="0" xfId="0">
      <alignment vertical="center"/>
    </xf>
    <xf numFmtId="0" fontId="0" fillId="6" borderId="5" applyAlignment="1" pivotButton="0" quotePrefix="0" xfId="0">
      <alignment vertical="center"/>
    </xf>
    <xf numFmtId="0" fontId="0" fillId="6" borderId="16" applyAlignment="1" pivotButton="0" quotePrefix="0" xfId="0">
      <alignment vertical="center"/>
    </xf>
    <xf numFmtId="0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0" fontId="0" fillId="4" borderId="13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 wrapText="1"/>
    </xf>
    <xf numFmtId="164" fontId="0" fillId="2" borderId="15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164" fontId="0" fillId="2" borderId="4" applyAlignment="1" pivotButton="0" quotePrefix="0" xfId="0">
      <alignment vertical="center"/>
    </xf>
    <xf numFmtId="0" fontId="11" fillId="0" borderId="0" applyAlignment="1" pivotButton="0" quotePrefix="0" xfId="0">
      <alignment horizontal="left" vertical="top" wrapText="1"/>
    </xf>
  </cellXfs>
  <cellStyles count="2">
    <cellStyle name="標準" xfId="0" builtinId="0"/>
    <cellStyle name="桁区切り" xfId="1" builtinId="6"/>
  </cellStyles>
  <dxfs count="31">
    <dxf>
      <fill>
        <patternFill>
          <bgColor rgb="FFFF66FF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/>
      </font>
      <fill>
        <patternFill>
          <bgColor rgb="FFFF0000"/>
        </patternFill>
      </fill>
    </dxf>
    <dxf>
      <font>
        <name val="游ゴシック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游ゴシック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0.0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游ゴシック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 style="thin">
          <color theme="4" tint="0.3999755851924192"/>
        </left>
        <right/>
        <top style="thin">
          <color theme="4" tint="0.3999755851924192"/>
        </top>
        <bottom/>
        <vertical/>
        <horizontal/>
      </border>
    </dxf>
    <dxf>
      <border outline="0">
        <right style="thin">
          <color theme="4" tint="0.3999755851924192"/>
        </right>
      </border>
    </dxf>
    <dxf>
      <font>
        <name val="游ゴシック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" formatCode="0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游ゴシック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78" formatCode="0.0"/>
      <fill>
        <patternFill patternType="solid">
          <fgColor theme="4" tint="0.7999816888943144"/>
          <bgColor theme="4" tint="0.7999816888943144"/>
        </patternFill>
      </fill>
      <border>
        <left/>
        <right/>
        <top style="thin">
          <color theme="4" tint="0.3999755851924192"/>
        </top>
        <bottom/>
        <vertical/>
        <horizontal/>
      </border>
    </dxf>
    <dxf>
      <font>
        <name val="游ゴシック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4" tint="0.7999816888943144"/>
          <bgColor theme="4" tint="0.7999816888943144"/>
        </patternFill>
      </fill>
      <border>
        <left style="thin">
          <color theme="4" tint="0.3999755851924192"/>
        </left>
        <right/>
        <top style="thin">
          <color theme="4" tint="0.3999755851924192"/>
        </top>
        <bottom/>
        <vertical/>
        <horizontal/>
      </border>
    </dxf>
    <dxf>
      <border outline="0">
        <right style="thin">
          <color theme="4" tint="0.3999755851924192"/>
        </right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固定費" displayName="固定費" ref="B6:C21" headerRowCount="1" totalsRowShown="0">
  <autoFilter ref="B6:C21"/>
  <tableColumns count="2">
    <tableColumn id="1" name="項目"/>
    <tableColumn id="2" name="金額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生活費" displayName="生活費" ref="E6:F21" headerRowCount="1" totalsRowShown="0">
  <autoFilter ref="E6:F21"/>
  <tableColumns count="2">
    <tableColumn id="1" name="項目"/>
    <tableColumn id="2" name="金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小遣い" displayName="小遣い" ref="M6:N17" headerRowCount="1" totalsRowShown="0">
  <autoFilter ref="M6:N17"/>
  <tableColumns count="2">
    <tableColumn id="1" name="項目"/>
    <tableColumn id="2" name="金額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貯金" displayName="貯金" ref="H6:K11" headerRowCount="1" totalsRowShown="0" tableBorderDxfId="30">
  <autoFilter ref="H6:K11"/>
  <tableColumns count="4">
    <tableColumn id="1" name="✓"/>
    <tableColumn id="2" name="目標貯金総額" dataDxfId="29"/>
    <tableColumn id="3" name="必要貯金額(月)" dataDxfId="28">
      <calculatedColumnFormula>(ルームシェア用!$I$7:$I$11-$C$3)/12</calculatedColumnFormula>
    </tableColumn>
    <tableColumn id="4" name="目標小遣い" dataDxfId="27">
      <calculatedColumnFormula>ROUND(($F$3-ルームシェア用!$J7)/1000,0)*1000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固定費２" displayName="固定費２" ref="B6:C21" headerRowCount="1" totalsRowShown="0">
  <autoFilter ref="B6:C21"/>
  <tableColumns count="2">
    <tableColumn id="1" name="項目"/>
    <tableColumn id="2" name="金額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生活費２" displayName="生活費２" ref="E6:F21" headerRowCount="1" totalsRowShown="0">
  <autoFilter ref="E6:F21"/>
  <tableColumns count="2">
    <tableColumn id="1" name="項目"/>
    <tableColumn id="2" name="金額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小遣い２" displayName="小遣い２" ref="M6:N17" headerRowCount="1" totalsRowShown="0">
  <autoFilter ref="M6:N17"/>
  <tableColumns count="2">
    <tableColumn id="1" name="項目"/>
    <tableColumn id="2" name="金額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貯金２" displayName="貯金２" ref="H6:K11" headerRowCount="1" totalsRowShown="0" tableBorderDxfId="26">
  <autoFilter ref="H6:K11"/>
  <tableColumns count="4">
    <tableColumn id="1" name="✓"/>
    <tableColumn id="2" name="目標貯金総額" dataDxfId="25"/>
    <tableColumn id="3" name="必要貯金額(月)" dataDxfId="24">
      <calculatedColumnFormula>(ルームシェア用!$I$7:$I$11-$C$3)/12</calculatedColumnFormula>
    </tableColumn>
    <tableColumn id="4" name="目標小遣い" dataDxfId="23">
      <calculatedColumnFormula>ROUND(($J$3-ルームシェア用!$J7)/1000,0)*1000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5.xml" Id="rId1" /><Relationship Type="http://schemas.openxmlformats.org/officeDocument/2006/relationships/table" Target="/xl/tables/table6.xml" Id="rId2" /><Relationship Type="http://schemas.openxmlformats.org/officeDocument/2006/relationships/table" Target="/xl/tables/table7.xml" Id="rId3" /><Relationship Type="http://schemas.openxmlformats.org/officeDocument/2006/relationships/table" Target="/xl/tables/table8.xml" Id="rId4" /></Relationships>
</file>

<file path=xl/worksheets/sheet1.xml><?xml version="1.0" encoding="utf-8"?>
<worksheet xmlns="http://schemas.openxmlformats.org/spreadsheetml/2006/main">
  <sheetPr>
    <tabColor rgb="008B6F47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" customWidth="1" style="31" min="1" max="1"/>
    <col width="95" customWidth="1" style="31" min="2" max="2"/>
  </cols>
  <sheetData>
    <row r="1">
      <c r="A1" t="inlineStr">
        <is>
          <t>🐪</t>
        </is>
      </c>
      <c r="B1" s="32" t="inlineStr">
        <is>
          <t>伊神流FP｜家計と先取り貯金テンプレ</t>
        </is>
      </c>
    </row>
    <row r="3">
      <c r="B3" s="33" t="inlineStr">
        <is>
          <t>「先取り貯金 → 残ったお金で生活」の流れを Excel で見える化するテンプレートです。</t>
        </is>
      </c>
    </row>
    <row r="4">
      <c r="B4" s="33" t="inlineStr">
        <is>
          <t>一人暮らし用とルームシェア用、2パターン用意してます。</t>
        </is>
      </c>
    </row>
    <row r="5">
      <c r="B5" s="33" t="inlineStr"/>
    </row>
    <row r="6">
      <c r="B6" s="34" t="inlineStr">
        <is>
          <t>■ このテンプレで何ができるか</t>
        </is>
      </c>
    </row>
    <row r="7">
      <c r="B7" s="33" t="inlineStr">
        <is>
          <t>・手取り給料から「固定費」「生活費」「貯金」「小遣い」の配分を見える化</t>
        </is>
      </c>
    </row>
    <row r="8">
      <c r="B8" s="33" t="inlineStr">
        <is>
          <t>・目標貯金総額（100万〜250万）から月の必要貯金額を逆算</t>
        </is>
      </c>
    </row>
    <row r="9">
      <c r="B9" s="33" t="inlineStr">
        <is>
          <t>・NISA・iDeCo の利用額を入れて「実質貯金額」と「先取り貯金額」を算出</t>
        </is>
      </c>
    </row>
    <row r="10">
      <c r="B10" s="33" t="inlineStr">
        <is>
          <t>・ボーナス込みの年間試算もできる</t>
        </is>
      </c>
    </row>
    <row r="11">
      <c r="B11" s="33" t="inlineStr"/>
    </row>
    <row r="12">
      <c r="B12" s="34" t="inlineStr">
        <is>
          <t>■ 使い方（5ステップ）</t>
        </is>
      </c>
    </row>
    <row r="13">
      <c r="B13" s="33" t="inlineStr">
        <is>
          <t>1. シート「一人暮らし用」または「ルームシェア用」を開く</t>
        </is>
      </c>
    </row>
    <row r="14">
      <c r="B14" s="33" t="inlineStr">
        <is>
          <t>2. C2セルに「手取り給料」を入力（ルームシェアの場合は F2 に人数も）</t>
        </is>
      </c>
    </row>
    <row r="15">
      <c r="B15" s="33" t="inlineStr">
        <is>
          <t>3. 個人固定費・生活費の項目と金額を埋める（例が入ってるので参考に）</t>
        </is>
      </c>
    </row>
    <row r="16">
      <c r="B16" s="33" t="inlineStr">
        <is>
          <t>4. K列の「目標貯金総額」のチェックボックスで目標を選ぶ</t>
        </is>
      </c>
    </row>
    <row r="17">
      <c r="B17" s="33" t="inlineStr">
        <is>
          <t>5. 「目標小遣い」と「先取り貯金額」が自動計算される</t>
        </is>
      </c>
    </row>
    <row r="18">
      <c r="B18" s="33" t="inlineStr"/>
    </row>
    <row r="19">
      <c r="B19" s="34" t="inlineStr">
        <is>
          <t>■ 実際の運用</t>
        </is>
      </c>
    </row>
    <row r="20">
      <c r="B20" s="33" t="inlineStr">
        <is>
          <t>・給料が入ったらまず「先取り貯金額」を貯金口座に振込</t>
        </is>
      </c>
    </row>
    <row r="21">
      <c r="B21" s="33" t="inlineStr">
        <is>
          <t>・「目標小遣い」と「小遣い合計」を見比べて使い方を決める</t>
        </is>
      </c>
    </row>
    <row r="22">
      <c r="B22" s="33" t="inlineStr">
        <is>
          <t>・NISA・iDeCo の利用額を入力すると「実質貯金額」が出る</t>
        </is>
      </c>
    </row>
    <row r="23">
      <c r="B23" s="33" t="inlineStr">
        <is>
          <t>・残った小遣いを有意義に使い、月末に残ったらまた貯金口座へ</t>
        </is>
      </c>
    </row>
    <row r="24">
      <c r="B24" s="33" t="inlineStr"/>
    </row>
    <row r="25">
      <c r="B25" s="34" t="inlineStr">
        <is>
          <t>■ 用語</t>
        </is>
      </c>
    </row>
    <row r="26">
      <c r="B26" s="33" t="inlineStr">
        <is>
          <t>・個人固定費: 携帯代・保険料など毎月必要な費用</t>
        </is>
      </c>
    </row>
    <row r="27">
      <c r="B27" s="33" t="inlineStr">
        <is>
          <t>・生活費: 住居に関わる費用（家賃・光熱費・食費）</t>
        </is>
      </c>
    </row>
    <row r="28">
      <c r="B28" s="33" t="inlineStr">
        <is>
          <t>・貯金可能額: 手取り − 固定費</t>
        </is>
      </c>
    </row>
    <row r="29">
      <c r="B29" s="33" t="inlineStr">
        <is>
          <t>・必要貯金額（月）: 目標貯金総額を達成するための月貯金額</t>
        </is>
      </c>
    </row>
    <row r="30">
      <c r="B30" s="33" t="inlineStr">
        <is>
          <t>・目標小遣い: 手取り − （固定費 + 必要貯金額）</t>
        </is>
      </c>
    </row>
    <row r="31">
      <c r="B31" s="33" t="inlineStr">
        <is>
          <t>・実質貯金額: 目標小遣い × 12 + ボーナス</t>
        </is>
      </c>
    </row>
    <row r="32">
      <c r="B32" s="33" t="inlineStr">
        <is>
          <t>・先取り貯金額: 給料が入ったら真っ先に振り込む金額</t>
        </is>
      </c>
    </row>
    <row r="33">
      <c r="B33" s="33" t="inlineStr"/>
    </row>
    <row r="34">
      <c r="B34" s="34" t="inlineStr">
        <is>
          <t>■ 注意</t>
        </is>
      </c>
    </row>
    <row r="35">
      <c r="B35" s="35" t="inlineStr">
        <is>
          <t>→ 例として入ってる数字はサンプルです。あなたの状況に書き換えてください</t>
        </is>
      </c>
    </row>
    <row r="36">
      <c r="B36" s="35" t="inlineStr">
        <is>
          <t>→ 投資（NISA・iDeCo）の効果は元本割れリスクあり、必ず自己責任で判断</t>
        </is>
      </c>
    </row>
    <row r="37">
      <c r="B37" s="33" t="inlineStr"/>
    </row>
    <row r="38">
      <c r="B38" s="33" t="inlineStr">
        <is>
          <t>わからない用語があれば、シート「用語集」も見てください。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7"/>
  <sheetViews>
    <sheetView workbookViewId="0">
      <selection activeCell="A1" sqref="A1"/>
    </sheetView>
  </sheetViews>
  <sheetFormatPr baseColWidth="8" defaultRowHeight="18.75"/>
  <cols>
    <col width="2.25" customWidth="1" style="31" min="1" max="1"/>
    <col width="13" bestFit="1" customWidth="1" style="31" min="2" max="2"/>
    <col width="14.125" customWidth="1" style="31" min="3" max="3"/>
    <col width="8.625" customWidth="1" style="31" min="4" max="4"/>
    <col width="15.125" bestFit="1" customWidth="1" style="31" min="5" max="5"/>
    <col width="14.125" customWidth="1" style="31" min="6" max="6"/>
    <col width="8.625" customWidth="1" style="31" min="7" max="7"/>
    <col width="4.625" customWidth="1" style="31" min="8" max="8"/>
    <col width="15.125" bestFit="1" customWidth="1" style="31" min="9" max="9"/>
    <col width="15.625" customWidth="1" style="31" min="10" max="10"/>
    <col width="11.875" customWidth="1" style="31" min="11" max="11"/>
    <col width="8.625" customWidth="1" style="31" min="12" max="12"/>
    <col width="13" bestFit="1" customWidth="1" style="31" min="13" max="13"/>
    <col width="14.125" customWidth="1" style="31" min="14" max="14"/>
    <col width="8.625" customWidth="1" style="31" min="15" max="15"/>
  </cols>
  <sheetData>
    <row r="1" ht="11.25" customHeight="1" s="31" thickBot="1"/>
    <row r="2" ht="24" customHeight="1" s="31" thickBot="1">
      <c r="B2" s="2" t="inlineStr">
        <is>
          <t>手取り給料</t>
        </is>
      </c>
      <c r="C2" s="3" t="n">
        <v>190000</v>
      </c>
      <c r="E2" s="2" t="inlineStr">
        <is>
          <t>固定費</t>
        </is>
      </c>
      <c r="F2" s="3">
        <f>C5+F5</f>
        <v/>
      </c>
      <c r="G2" s="12" t="inlineStr">
        <is>
          <t>固定費＝個人固定費＋生活費</t>
        </is>
      </c>
    </row>
    <row r="3" ht="24" customHeight="1" s="31" thickBot="1">
      <c r="B3" s="2" t="inlineStr">
        <is>
          <t>ボーナス(合計)</t>
        </is>
      </c>
      <c r="C3" s="3">
        <f>C2*4</f>
        <v/>
      </c>
      <c r="E3" s="2" t="inlineStr">
        <is>
          <t>貯金可能額</t>
        </is>
      </c>
      <c r="F3" s="3">
        <f>C2-F2</f>
        <v/>
      </c>
      <c r="G3" s="13" t="inlineStr">
        <is>
          <t>貯金可能額＝手取りー経費</t>
        </is>
      </c>
    </row>
    <row r="4">
      <c r="M4" s="23" t="inlineStr">
        <is>
          <t>目標小遣い</t>
        </is>
      </c>
      <c r="N4" s="23">
        <f>INDEX(貯金[],H5,4)</f>
        <v/>
      </c>
    </row>
    <row r="5">
      <c r="B5" s="24" t="inlineStr">
        <is>
          <t>個人固定費</t>
        </is>
      </c>
      <c r="C5" s="24">
        <f>SUM(固定費[金額])</f>
        <v/>
      </c>
      <c r="E5" s="23" t="inlineStr">
        <is>
          <t>生活費</t>
        </is>
      </c>
      <c r="F5" s="23">
        <f>SUM(生活費[金額])</f>
        <v/>
      </c>
      <c r="H5" s="14" t="n">
        <v>1</v>
      </c>
      <c r="I5" s="0" t="inlineStr">
        <is>
          <t>貯金</t>
        </is>
      </c>
      <c r="M5" s="24" t="inlineStr">
        <is>
          <t>小遣い合計</t>
        </is>
      </c>
      <c r="N5" s="24">
        <f>SUM(小遣い[[#All],[金額]])</f>
        <v/>
      </c>
    </row>
    <row r="6">
      <c r="B6" s="0" t="inlineStr">
        <is>
          <t>項目</t>
        </is>
      </c>
      <c r="C6" s="0" t="inlineStr">
        <is>
          <t>金額</t>
        </is>
      </c>
      <c r="E6" s="0" t="inlineStr">
        <is>
          <t>項目</t>
        </is>
      </c>
      <c r="F6" s="0" t="inlineStr">
        <is>
          <t>金額</t>
        </is>
      </c>
      <c r="H6" s="14" t="inlineStr">
        <is>
          <t>✓</t>
        </is>
      </c>
      <c r="I6" s="15" t="inlineStr">
        <is>
          <t>目標貯金総額</t>
        </is>
      </c>
      <c r="J6" s="16" t="inlineStr">
        <is>
          <t>必要貯金額(月)</t>
        </is>
      </c>
      <c r="K6" s="16" t="inlineStr">
        <is>
          <t>目標小遣い</t>
        </is>
      </c>
      <c r="M6" s="0" t="inlineStr">
        <is>
          <t>項目</t>
        </is>
      </c>
      <c r="N6" s="0" t="inlineStr">
        <is>
          <t>金額</t>
        </is>
      </c>
    </row>
    <row r="7">
      <c r="B7" s="0" t="inlineStr">
        <is>
          <t>携帯代</t>
        </is>
      </c>
      <c r="C7" s="0" t="n">
        <v>4000</v>
      </c>
      <c r="E7" s="0" t="inlineStr">
        <is>
          <t>家賃</t>
        </is>
      </c>
      <c r="F7" s="0" t="n">
        <v>76500</v>
      </c>
      <c r="I7" s="17" t="n">
        <v>1000000</v>
      </c>
      <c r="J7" s="36">
        <f>(ルームシェア用!$I$7:$I$11-$C$3)/12</f>
        <v/>
      </c>
      <c r="K7" s="21">
        <f>ROUND(($F$3-ルームシェア用!$J7)/1000,0)*1000</f>
        <v/>
      </c>
      <c r="M7" s="0" t="inlineStr">
        <is>
          <t>軽食</t>
        </is>
      </c>
      <c r="N7" s="0" t="n">
        <v>4000</v>
      </c>
    </row>
    <row r="8">
      <c r="B8" s="0" t="inlineStr">
        <is>
          <t>保険料</t>
        </is>
      </c>
      <c r="C8" s="0" t="n">
        <v>1000</v>
      </c>
      <c r="E8" s="0" t="inlineStr">
        <is>
          <t>共益費</t>
        </is>
      </c>
      <c r="F8" s="0" t="n">
        <v>2200</v>
      </c>
      <c r="I8" s="19" t="n">
        <v>1500000</v>
      </c>
      <c r="J8" s="37">
        <f>(ルームシェア用!$I$7:$I$11-$C$3)/12</f>
        <v/>
      </c>
      <c r="K8" s="22">
        <f>ROUND(($F$3-ルームシェア用!$J8)/1000,0)*1000</f>
        <v/>
      </c>
      <c r="M8" s="0" t="inlineStr">
        <is>
          <t>食事会</t>
        </is>
      </c>
      <c r="N8" s="0" t="n">
        <v>4000</v>
      </c>
    </row>
    <row r="9">
      <c r="B9" s="0" t="inlineStr">
        <is>
          <t>車保険料</t>
        </is>
      </c>
      <c r="C9" s="0" t="n">
        <v>10000</v>
      </c>
      <c r="E9" s="0" t="inlineStr">
        <is>
          <t>駐車場</t>
        </is>
      </c>
      <c r="F9" s="0" t="n">
        <v>8800</v>
      </c>
      <c r="I9" s="17" t="n">
        <v>1800000</v>
      </c>
      <c r="J9" s="36">
        <f>(ルームシェア用!$I$7:$I$11-$C$3)/12</f>
        <v/>
      </c>
      <c r="K9" s="21">
        <f>ROUND(($F$3-ルームシェア用!$J9)/1000,0)*1000</f>
        <v/>
      </c>
      <c r="M9" s="0" t="inlineStr">
        <is>
          <t>飲み会</t>
        </is>
      </c>
    </row>
    <row r="10">
      <c r="B10" s="0" t="inlineStr">
        <is>
          <t>ガソリン代</t>
        </is>
      </c>
      <c r="C10" s="0" t="n">
        <v>6000</v>
      </c>
      <c r="E10" s="0" t="inlineStr">
        <is>
          <t>通信費</t>
        </is>
      </c>
      <c r="F10" s="0" t="n">
        <v>0</v>
      </c>
      <c r="I10" s="19" t="n">
        <v>2000000</v>
      </c>
      <c r="J10" s="37">
        <f>(ルームシェア用!$I$7:$I$11-$C$3)/12</f>
        <v/>
      </c>
      <c r="K10" s="22">
        <f>ROUND(($F$3-ルームシェア用!$J10)/1000,0)*1000</f>
        <v/>
      </c>
      <c r="M10" s="0" t="inlineStr">
        <is>
          <t>服</t>
        </is>
      </c>
      <c r="N10" s="0" t="n">
        <v>5000</v>
      </c>
    </row>
    <row r="11">
      <c r="B11" s="0" t="inlineStr">
        <is>
          <t>奨学金</t>
        </is>
      </c>
      <c r="C11" s="0" t="n">
        <v>9000</v>
      </c>
      <c r="E11" s="0" t="inlineStr">
        <is>
          <t>水道</t>
        </is>
      </c>
      <c r="F11" s="0" t="n">
        <v>3000</v>
      </c>
      <c r="I11" s="1" t="n">
        <v>2500000</v>
      </c>
      <c r="J11" s="38">
        <f>(ルームシェア用!$I$7:$I$11-$C$3)/12</f>
        <v/>
      </c>
      <c r="K11" s="5">
        <f>ROUND(($F$3-ルームシェア用!$J11)/1000,0)*1000</f>
        <v/>
      </c>
      <c r="M11" s="0" t="inlineStr">
        <is>
          <t>散髪</t>
        </is>
      </c>
      <c r="N11" s="0" t="n">
        <v>3500</v>
      </c>
    </row>
    <row r="12" ht="19.5" customHeight="1" s="31" thickBot="1">
      <c r="E12" s="0" t="inlineStr">
        <is>
          <t>ガス</t>
        </is>
      </c>
      <c r="F12" s="0" t="n">
        <v>2000</v>
      </c>
      <c r="M12" s="0" t="inlineStr">
        <is>
          <t>お菓子</t>
        </is>
      </c>
      <c r="N12" s="0" t="n">
        <v>1000</v>
      </c>
    </row>
    <row r="13">
      <c r="E13" s="0" t="inlineStr">
        <is>
          <t>電気</t>
        </is>
      </c>
      <c r="F13" s="0" t="n">
        <v>5000</v>
      </c>
      <c r="I13" s="7" t="inlineStr">
        <is>
          <t>実質貯金額</t>
        </is>
      </c>
      <c r="J13" s="8">
        <f>(F3-N5)*12+C3</f>
        <v/>
      </c>
      <c r="K13" s="9">
        <f>IF(J13&gt;0,ROUND((J13/10000),2)&amp;"万","")</f>
        <v/>
      </c>
      <c r="M13" s="0" t="inlineStr">
        <is>
          <t>アマプラ</t>
        </is>
      </c>
      <c r="N13" s="0" t="n">
        <v>600</v>
      </c>
    </row>
    <row r="14">
      <c r="E14" s="0" t="inlineStr">
        <is>
          <t>食費</t>
        </is>
      </c>
      <c r="F14" s="0" t="n">
        <v>30000</v>
      </c>
      <c r="I14" s="10" t="inlineStr">
        <is>
          <t>NISA</t>
        </is>
      </c>
      <c r="J14" s="6" t="n"/>
      <c r="K14" s="11">
        <f>IF(J14&gt;0,ROUND((J14/10000),2)&amp;"万","")</f>
        <v/>
      </c>
      <c r="M14" s="0" t="inlineStr">
        <is>
          <t>チョコザップ</t>
        </is>
      </c>
      <c r="N14" s="0" t="n">
        <v>2900</v>
      </c>
    </row>
    <row r="15">
      <c r="E15" s="0" t="inlineStr">
        <is>
          <t>家賃手当</t>
        </is>
      </c>
      <c r="F15" s="0" t="n">
        <v>-27000</v>
      </c>
      <c r="I15" s="10" t="inlineStr">
        <is>
          <t>iDeco</t>
        </is>
      </c>
      <c r="J15" s="6" t="n"/>
      <c r="K15" s="11">
        <f>IF(J15&gt;0,ROUND((J15/10000),2)&amp;"万","")</f>
        <v/>
      </c>
      <c r="M15" s="0" t="inlineStr">
        <is>
          <t>サブスク</t>
        </is>
      </c>
      <c r="N15" s="0" t="n">
        <v>1200</v>
      </c>
    </row>
    <row r="16" ht="19.5" customHeight="1" s="31" thickBot="1">
      <c r="E16" s="0" t="inlineStr">
        <is>
          <t>保険</t>
        </is>
      </c>
      <c r="I16" s="25" t="inlineStr">
        <is>
          <t>先取り貯金額</t>
        </is>
      </c>
      <c r="J16" s="26">
        <f>ROUNDDOWN((F3-N5-(J14+J15))/1000,0)*1000</f>
        <v/>
      </c>
      <c r="K16" s="27">
        <f>IF(J16&gt;0,ROUND((J16/10000),2)&amp;"万","")</f>
        <v/>
      </c>
      <c r="M16" s="0" t="inlineStr">
        <is>
          <t>サブスク</t>
        </is>
      </c>
    </row>
    <row r="17">
      <c r="M17" s="0" t="inlineStr">
        <is>
          <t>遊び</t>
        </is>
      </c>
      <c r="N17" s="0" t="n">
        <v>8000</v>
      </c>
    </row>
  </sheetData>
  <conditionalFormatting sqref="N5">
    <cfRule type="cellIs" priority="6" operator="greaterThan" dxfId="1">
      <formula>$N$4</formula>
    </cfRule>
  </conditionalFormatting>
  <conditionalFormatting sqref="H7:K11">
    <cfRule type="expression" priority="1" dxfId="0">
      <formula>$K7&lt;0</formula>
    </cfRule>
  </conditionalFormatting>
  <dataValidations count="1">
    <dataValidation sqref="C5 F2:F3 F5 G2:G3 H7:K11 I13:K16 M7:N17 N4:N5" showDropDown="0" showInputMessage="1" showErrorMessage="1" allowBlank="1" type="list">
      <formula1>"＊＊＊＊＊"</formula1>
    </dataValidation>
  </dataValidations>
  <pageMargins left="0.7" right="0.7" top="0.75" bottom="0.75" header="0.3" footer="0.3"/>
  <pageSetup orientation="portrait" paperSize="9" horizontalDpi="0" verticalDpi="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7"/>
  <sheetViews>
    <sheetView workbookViewId="0">
      <selection activeCell="A1" sqref="A1"/>
    </sheetView>
  </sheetViews>
  <sheetFormatPr baseColWidth="8" defaultRowHeight="18.75"/>
  <cols>
    <col width="2.25" customWidth="1" style="31" min="1" max="1"/>
    <col width="13" bestFit="1" customWidth="1" style="31" min="2" max="2"/>
    <col width="14.125" customWidth="1" style="31" min="3" max="3"/>
    <col width="8.625" customWidth="1" style="31" min="4" max="4"/>
    <col width="15.125" bestFit="1" customWidth="1" style="31" min="5" max="5"/>
    <col width="14.125" customWidth="1" style="31" min="6" max="6"/>
    <col width="8.625" customWidth="1" style="31" min="7" max="7"/>
    <col width="4.625" customWidth="1" style="31" min="8" max="8"/>
    <col width="15.125" bestFit="1" customWidth="1" style="31" min="9" max="9"/>
    <col width="15.625" customWidth="1" style="31" min="10" max="10"/>
    <col width="11.875" customWidth="1" style="31" min="11" max="11"/>
    <col width="8.625" customWidth="1" style="31" min="12" max="12"/>
    <col width="13" bestFit="1" customWidth="1" style="31" min="13" max="13"/>
    <col width="14.125" customWidth="1" style="31" min="14" max="14"/>
    <col width="8.625" customWidth="1" style="31" min="15" max="15"/>
  </cols>
  <sheetData>
    <row r="1" ht="11.25" customHeight="1" s="31" thickBot="1"/>
    <row r="2" ht="24" customHeight="1" s="31" thickBot="1">
      <c r="B2" s="2" t="inlineStr">
        <is>
          <t>手取り給料</t>
        </is>
      </c>
      <c r="C2" s="3" t="n">
        <v>190000</v>
      </c>
      <c r="E2" s="2" t="inlineStr">
        <is>
          <t>シェア人数</t>
        </is>
      </c>
      <c r="F2" s="3" t="n">
        <v>2</v>
      </c>
      <c r="I2" s="2" t="inlineStr">
        <is>
          <t>固定費</t>
        </is>
      </c>
      <c r="J2" s="3">
        <f>C5+F4</f>
        <v/>
      </c>
      <c r="K2" s="12" t="inlineStr">
        <is>
          <t>固定費＝個人固定費＋生活費（一人あたり）</t>
        </is>
      </c>
    </row>
    <row r="3" ht="24" customHeight="1" s="31" thickBot="1">
      <c r="B3" s="2" t="inlineStr">
        <is>
          <t>ボーナス(合計)</t>
        </is>
      </c>
      <c r="C3" s="3">
        <f>C2*4</f>
        <v/>
      </c>
      <c r="I3" s="2" t="inlineStr">
        <is>
          <t>貯金可能額</t>
        </is>
      </c>
      <c r="J3" s="3">
        <f>C2-J2</f>
        <v/>
      </c>
      <c r="K3" s="13" t="inlineStr">
        <is>
          <t>貯金可能額＝手取りー経費</t>
        </is>
      </c>
    </row>
    <row r="4">
      <c r="E4" s="23" t="inlineStr">
        <is>
          <t>生活費（一人）</t>
        </is>
      </c>
      <c r="F4" s="23">
        <f>SUM(生活費２[金額])/IF(F2="",2,F2)</f>
        <v/>
      </c>
      <c r="M4" s="23" t="inlineStr">
        <is>
          <t>目標小遣い</t>
        </is>
      </c>
      <c r="N4" s="23">
        <f>INDEX(貯金２[],H5,4)</f>
        <v/>
      </c>
    </row>
    <row r="5">
      <c r="B5" s="24" t="inlineStr">
        <is>
          <t>個人固定費</t>
        </is>
      </c>
      <c r="C5" s="24">
        <f>SUM(固定費２[金額])</f>
        <v/>
      </c>
      <c r="E5" s="24" t="inlineStr">
        <is>
          <t xml:space="preserve">　　　（合計）</t>
        </is>
      </c>
      <c r="F5" s="24">
        <f>SUM(生活費２[金額])</f>
        <v/>
      </c>
      <c r="H5" s="14" t="n">
        <v>1</v>
      </c>
      <c r="I5" s="0" t="inlineStr">
        <is>
          <t>貯金</t>
        </is>
      </c>
      <c r="M5" s="24" t="inlineStr">
        <is>
          <t>小遣い合計</t>
        </is>
      </c>
      <c r="N5" s="24">
        <f>SUM(小遣い２[[#All],[金額]])</f>
        <v/>
      </c>
    </row>
    <row r="6">
      <c r="B6" s="0" t="inlineStr">
        <is>
          <t>項目</t>
        </is>
      </c>
      <c r="C6" s="0" t="inlineStr">
        <is>
          <t>金額</t>
        </is>
      </c>
      <c r="E6" s="0" t="inlineStr">
        <is>
          <t>項目</t>
        </is>
      </c>
      <c r="F6" s="0" t="inlineStr">
        <is>
          <t>金額</t>
        </is>
      </c>
      <c r="H6" s="14" t="inlineStr">
        <is>
          <t>✓</t>
        </is>
      </c>
      <c r="I6" s="15" t="inlineStr">
        <is>
          <t>目標貯金総額</t>
        </is>
      </c>
      <c r="J6" s="16" t="inlineStr">
        <is>
          <t>必要貯金額(月)</t>
        </is>
      </c>
      <c r="K6" s="16" t="inlineStr">
        <is>
          <t>目標小遣い</t>
        </is>
      </c>
      <c r="M6" s="0" t="inlineStr">
        <is>
          <t>項目</t>
        </is>
      </c>
      <c r="N6" s="0" t="inlineStr">
        <is>
          <t>金額</t>
        </is>
      </c>
    </row>
    <row r="7">
      <c r="B7" s="0" t="inlineStr">
        <is>
          <t>携帯代</t>
        </is>
      </c>
      <c r="C7" s="0" t="n">
        <v>4000</v>
      </c>
      <c r="E7" s="0" t="inlineStr">
        <is>
          <t>家賃</t>
        </is>
      </c>
      <c r="F7" s="0" t="n">
        <v>76500</v>
      </c>
      <c r="I7" s="17" t="n">
        <v>1000000</v>
      </c>
      <c r="J7" s="36">
        <f>(ルームシェア用!$I$7:$I$11-$C$3)/12</f>
        <v/>
      </c>
      <c r="K7" s="21">
        <f>ROUND(($J$3-ルームシェア用!$J7)/1000,0)*1000</f>
        <v/>
      </c>
      <c r="M7" s="0" t="inlineStr">
        <is>
          <t>軽食</t>
        </is>
      </c>
      <c r="N7" s="0" t="n">
        <v>4000</v>
      </c>
    </row>
    <row r="8">
      <c r="B8" s="0" t="inlineStr">
        <is>
          <t>保険料</t>
        </is>
      </c>
      <c r="C8" s="0" t="n">
        <v>1000</v>
      </c>
      <c r="E8" s="0" t="inlineStr">
        <is>
          <t>共益費</t>
        </is>
      </c>
      <c r="F8" s="0" t="n">
        <v>2200</v>
      </c>
      <c r="I8" s="19" t="n">
        <v>1500000</v>
      </c>
      <c r="J8" s="37">
        <f>(ルームシェア用!$I$7:$I$11-$C$3)/12</f>
        <v/>
      </c>
      <c r="K8" s="22">
        <f>ROUND(($J$3-ルームシェア用!$J8)/1000,0)*1000</f>
        <v/>
      </c>
      <c r="M8" s="0" t="inlineStr">
        <is>
          <t>食事会</t>
        </is>
      </c>
      <c r="N8" s="0" t="n">
        <v>4000</v>
      </c>
    </row>
    <row r="9">
      <c r="B9" s="0" t="inlineStr">
        <is>
          <t>車保険料</t>
        </is>
      </c>
      <c r="C9" s="0" t="n">
        <v>10000</v>
      </c>
      <c r="E9" s="0" t="inlineStr">
        <is>
          <t>駐車場</t>
        </is>
      </c>
      <c r="F9" s="0" t="n">
        <v>8800</v>
      </c>
      <c r="I9" s="17" t="n">
        <v>1800000</v>
      </c>
      <c r="J9" s="36">
        <f>(ルームシェア用!$I$7:$I$11-$C$3)/12</f>
        <v/>
      </c>
      <c r="K9" s="21">
        <f>ROUND(($J$3-ルームシェア用!$J9)/1000,0)*1000</f>
        <v/>
      </c>
      <c r="M9" s="0" t="inlineStr">
        <is>
          <t>飲み会</t>
        </is>
      </c>
    </row>
    <row r="10">
      <c r="B10" s="0" t="inlineStr">
        <is>
          <t>ガソリン代</t>
        </is>
      </c>
      <c r="C10" s="0" t="n">
        <v>6000</v>
      </c>
      <c r="E10" s="0" t="inlineStr">
        <is>
          <t>通信費</t>
        </is>
      </c>
      <c r="F10" s="0" t="n">
        <v>0</v>
      </c>
      <c r="I10" s="19" t="n">
        <v>2000000</v>
      </c>
      <c r="J10" s="37">
        <f>(ルームシェア用!$I$7:$I$11-$C$3)/12</f>
        <v/>
      </c>
      <c r="K10" s="22">
        <f>ROUND(($J$3-ルームシェア用!$J10)/1000,0)*1000</f>
        <v/>
      </c>
      <c r="M10" s="0" t="inlineStr">
        <is>
          <t>服</t>
        </is>
      </c>
      <c r="N10" s="0" t="n">
        <v>5000</v>
      </c>
    </row>
    <row r="11">
      <c r="B11" s="0" t="inlineStr">
        <is>
          <t>奨学金</t>
        </is>
      </c>
      <c r="C11" s="0" t="n">
        <v>9000</v>
      </c>
      <c r="E11" s="0" t="inlineStr">
        <is>
          <t>水道</t>
        </is>
      </c>
      <c r="F11" s="0" t="n">
        <v>3000</v>
      </c>
      <c r="I11" s="1" t="n">
        <v>2500000</v>
      </c>
      <c r="J11" s="38">
        <f>(ルームシェア用!$I$7:$I$11-$C$3)/12</f>
        <v/>
      </c>
      <c r="K11" s="5">
        <f>ROUND(($J$3-ルームシェア用!$J11)/1000,0)*1000</f>
        <v/>
      </c>
      <c r="M11" s="0" t="inlineStr">
        <is>
          <t>散髪</t>
        </is>
      </c>
      <c r="N11" s="0" t="n">
        <v>3500</v>
      </c>
    </row>
    <row r="12" ht="19.5" customHeight="1" s="31" thickBot="1">
      <c r="E12" s="0" t="inlineStr">
        <is>
          <t>ガス</t>
        </is>
      </c>
      <c r="F12" s="0" t="n">
        <v>2000</v>
      </c>
      <c r="M12" s="0" t="inlineStr">
        <is>
          <t>お菓子</t>
        </is>
      </c>
      <c r="N12" s="0" t="n">
        <v>1000</v>
      </c>
    </row>
    <row r="13">
      <c r="E13" s="0" t="inlineStr">
        <is>
          <t>電気</t>
        </is>
      </c>
      <c r="F13" s="0" t="n">
        <v>5000</v>
      </c>
      <c r="I13" s="7" t="inlineStr">
        <is>
          <t>実質貯金額</t>
        </is>
      </c>
      <c r="J13" s="8">
        <f>(J3-N5)*12+C3</f>
        <v/>
      </c>
      <c r="K13" s="9">
        <f>IF(J13&gt;0,ROUND((J13/10000),2)&amp;"万","")</f>
        <v/>
      </c>
      <c r="M13" s="0" t="inlineStr">
        <is>
          <t>アマプラ</t>
        </is>
      </c>
      <c r="N13" s="0" t="n">
        <v>600</v>
      </c>
    </row>
    <row r="14">
      <c r="E14" s="0" t="inlineStr">
        <is>
          <t>食費</t>
        </is>
      </c>
      <c r="F14" s="0" t="n">
        <v>30000</v>
      </c>
      <c r="I14" s="10" t="inlineStr">
        <is>
          <t>NISA</t>
        </is>
      </c>
      <c r="J14" s="6" t="n">
        <v>33333</v>
      </c>
      <c r="K14" s="11">
        <f>IF(J14&gt;0,ROUND((J14/10000),2)&amp;"万","")</f>
        <v/>
      </c>
      <c r="M14" s="0" t="inlineStr">
        <is>
          <t>チョコザップ</t>
        </is>
      </c>
      <c r="N14" s="0" t="n">
        <v>2900</v>
      </c>
    </row>
    <row r="15">
      <c r="E15" s="0" t="inlineStr">
        <is>
          <t>家賃手当</t>
        </is>
      </c>
      <c r="F15" s="0" t="n">
        <v>-27000</v>
      </c>
      <c r="I15" s="10" t="inlineStr">
        <is>
          <t>iDeco</t>
        </is>
      </c>
      <c r="J15" s="6" t="n">
        <v>0</v>
      </c>
      <c r="K15" s="11">
        <f>IF(J15&gt;0,ROUND((J15/10000),2)&amp;"万","")</f>
        <v/>
      </c>
      <c r="M15" s="0" t="inlineStr">
        <is>
          <t>サブスク</t>
        </is>
      </c>
      <c r="N15" s="0" t="n">
        <v>1200</v>
      </c>
    </row>
    <row r="16" ht="19.5" customHeight="1" s="31" thickBot="1">
      <c r="E16" s="0" t="inlineStr">
        <is>
          <t>保険</t>
        </is>
      </c>
      <c r="I16" s="25" t="inlineStr">
        <is>
          <t>先取り貯金額</t>
        </is>
      </c>
      <c r="J16" s="26">
        <f>ROUNDDOWN((J3-N5-(J14+J15))/1000,0)*1000</f>
        <v/>
      </c>
      <c r="K16" s="27">
        <f>IF(J16&gt;0,ROUND((J16/10000),2)&amp;"万","")</f>
        <v/>
      </c>
      <c r="M16" s="0" t="inlineStr">
        <is>
          <t>サブスク</t>
        </is>
      </c>
    </row>
    <row r="17">
      <c r="M17" s="0" t="inlineStr">
        <is>
          <t>遊び</t>
        </is>
      </c>
      <c r="N17" s="0" t="n">
        <v>8000</v>
      </c>
    </row>
  </sheetData>
  <conditionalFormatting sqref="N5">
    <cfRule type="cellIs" priority="2" operator="greaterThan" dxfId="1">
      <formula>$N$4</formula>
    </cfRule>
  </conditionalFormatting>
  <conditionalFormatting sqref="H7:K11">
    <cfRule type="expression" priority="1" dxfId="0">
      <formula>$K7&lt;0</formula>
    </cfRule>
  </conditionalFormatting>
  <dataValidations count="1">
    <dataValidation sqref="C5 F4:F5 H7:K11 I13:K16 J2:J3 M7:N17 N4:N5" showDropDown="0" showInputMessage="1" showErrorMessage="1" allowBlank="1" type="list">
      <formula1>"＊＊＊＊＊"</formula1>
    </dataValidation>
  </dataValidations>
  <pageMargins left="0.7" right="0.7" top="0.75" bottom="0.75" header="0.3" footer="0.3"/>
  <pageSetup orientation="portrait" paperSize="9" horizontalDpi="0" verticalDpi="0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8.75"/>
  <cols>
    <col width="19.375" customWidth="1" style="31" min="2" max="2"/>
  </cols>
  <sheetData>
    <row r="2">
      <c r="B2" s="0" t="inlineStr">
        <is>
          <t>個人固定費</t>
        </is>
      </c>
      <c r="C2" s="0" t="inlineStr">
        <is>
          <t>携帯代等の毎月必要な費用</t>
        </is>
      </c>
    </row>
    <row r="3">
      <c r="B3" s="0" t="inlineStr">
        <is>
          <t>生活費</t>
        </is>
      </c>
      <c r="C3" s="0" t="inlineStr">
        <is>
          <t>住居に関わる費用</t>
        </is>
      </c>
    </row>
    <row r="4">
      <c r="B4" s="0" t="inlineStr">
        <is>
          <t>固定費</t>
        </is>
      </c>
      <c r="C4" s="0" t="inlineStr">
        <is>
          <t>個人固定費＋生活費</t>
        </is>
      </c>
    </row>
    <row r="5">
      <c r="B5" s="0" t="inlineStr">
        <is>
          <t>貯金可能額</t>
        </is>
      </c>
      <c r="C5" s="0" t="inlineStr">
        <is>
          <t>手取りー固定費</t>
        </is>
      </c>
    </row>
    <row r="6">
      <c r="B6" s="0" t="inlineStr">
        <is>
          <t>必要貯金額（月）</t>
        </is>
      </c>
      <c r="C6" s="0" t="inlineStr">
        <is>
          <t>目標貯金額を達成するために必要な貯金額</t>
        </is>
      </c>
    </row>
    <row r="7">
      <c r="B7" s="0" t="inlineStr">
        <is>
          <t>目標小遣い</t>
        </is>
      </c>
      <c r="C7" s="0" t="inlineStr">
        <is>
          <t>手取りー（固定費＋必要貯金額）</t>
        </is>
      </c>
    </row>
    <row r="8">
      <c r="B8" s="28" t="inlineStr">
        <is>
          <t>実質貯金額</t>
        </is>
      </c>
      <c r="C8" s="28" t="inlineStr">
        <is>
          <t>目標小遣い*12+ボーナス=「固定費」「小遣い」を予定通りにすれば貯まる金額</t>
        </is>
      </c>
    </row>
    <row r="9">
      <c r="B9" s="28" t="inlineStr">
        <is>
          <t>先取り貯金額</t>
        </is>
      </c>
      <c r="C9" s="28" t="inlineStr">
        <is>
          <t>給料が入ったら真っ先に貯金口座に振り込むべき金額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E8D5A7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style="31" min="1" max="1"/>
    <col width="95" customWidth="1" style="31" min="2" max="2"/>
  </cols>
  <sheetData>
    <row r="1">
      <c r="A1" t="inlineStr">
        <is>
          <t>🐪</t>
        </is>
      </c>
      <c r="B1" s="39" t="inlineStr">
        <is>
          <t>残業嫌いのらくだ先生</t>
        </is>
      </c>
    </row>
    <row r="2">
      <c r="A2" t="inlineStr"/>
      <c r="B2" s="33" t="inlineStr"/>
    </row>
    <row r="3">
      <c r="A3" t="inlineStr">
        <is>
          <t>■</t>
        </is>
      </c>
      <c r="B3" s="34" t="inlineStr">
        <is>
          <t>プロフィール</t>
        </is>
      </c>
    </row>
    <row r="4">
      <c r="A4" t="inlineStr"/>
      <c r="B4" s="33" t="inlineStr">
        <is>
          <t>公立中学校教員（国語・20代）</t>
        </is>
      </c>
    </row>
    <row r="5">
      <c r="A5" t="inlineStr"/>
      <c r="B5" s="33" t="inlineStr">
        <is>
          <t>ICT・AIで残業ゼロ ｜ 副業10万 ｜ 5年で2000万円貯金</t>
        </is>
      </c>
    </row>
    <row r="6">
      <c r="A6" t="inlineStr"/>
      <c r="B6" s="33" t="inlineStr">
        <is>
          <t>日本株デイトレで-50万やった失敗から、低リスクインデックス投資に振り切り。</t>
        </is>
      </c>
    </row>
    <row r="7">
      <c r="A7" t="inlineStr"/>
      <c r="B7" s="33" t="inlineStr"/>
    </row>
    <row r="8">
      <c r="A8" t="inlineStr">
        <is>
          <t>■</t>
        </is>
      </c>
      <c r="B8" s="34" t="inlineStr">
        <is>
          <t>発信中</t>
        </is>
      </c>
    </row>
    <row r="9">
      <c r="A9" t="inlineStr"/>
      <c r="B9" s="33" t="inlineStr">
        <is>
          <t>X (Twitter): @rakuda_sensei</t>
        </is>
      </c>
    </row>
    <row r="10">
      <c r="A10" t="inlineStr"/>
      <c r="B10" s="33" t="inlineStr">
        <is>
          <t>note: https://note.com/rakuda_sensei</t>
        </is>
      </c>
    </row>
    <row r="11">
      <c r="A11" t="inlineStr"/>
      <c r="B11" s="33" t="inlineStr">
        <is>
          <t>BOOTH: https://rakuda-sensei.booth.pm</t>
        </is>
      </c>
    </row>
    <row r="12">
      <c r="A12" t="inlineStr"/>
      <c r="B12" s="33" t="inlineStr"/>
    </row>
    <row r="13">
      <c r="A13" t="inlineStr">
        <is>
          <t>■</t>
        </is>
      </c>
      <c r="B13" s="34" t="inlineStr">
        <is>
          <t>ご利用について</t>
        </is>
      </c>
    </row>
    <row r="14">
      <c r="A14" t="inlineStr"/>
      <c r="B14" s="33" t="inlineStr">
        <is>
          <t>・本商品の個人利用・校内利用は自由</t>
        </is>
      </c>
    </row>
    <row r="15">
      <c r="A15" t="inlineStr"/>
      <c r="B15" s="33" t="inlineStr">
        <is>
          <t>・二次配布・転売は禁止</t>
        </is>
      </c>
    </row>
    <row r="16">
      <c r="A16" t="inlineStr"/>
      <c r="B16" s="33" t="inlineStr">
        <is>
          <t>・本商品の数式・テンプレで生じた結果について作者は責任を負いません</t>
        </is>
      </c>
    </row>
    <row r="17">
      <c r="A17" t="inlineStr"/>
      <c r="B17" s="33" t="inlineStr">
        <is>
          <t>・改善要望や不具合報告は X DM までお気軽に！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伊神　孟</dc:creator>
  <dcterms:created xsi:type="dcterms:W3CDTF">2024-01-07T08:13:14Z</dcterms:created>
  <dcterms:modified xsi:type="dcterms:W3CDTF">2026-06-02T04:10:00Z</dcterms:modified>
  <cp:lastModifiedBy>伊神　孟</cp:lastModifiedBy>
</cp:coreProperties>
</file>