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一人暮らし用" sheetId="2" state="visible" r:id="rId2"/>
    <sheet name="ルームシェア用" sheetId="3" state="visible" r:id="rId3"/>
    <sheet name="用語集" sheetId="4" state="visible" r:id="rId4"/>
    <sheet name="らくだ先生について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円&quot;"/>
    <numFmt numFmtId="165" formatCode="0.0&quot;ヶ月&quot;"/>
    <numFmt numFmtId="166" formatCode="0&quot;人&quot;"/>
  </numFmts>
  <fonts count="9">
    <font>
      <name val="Calibri"/>
      <family val="2"/>
      <color theme="1"/>
      <sz val="11"/>
      <scheme val="minor"/>
    </font>
    <font>
      <name val="メイリオ"/>
      <color rgb="003D2F1F"/>
      <sz val="24"/>
    </font>
    <font>
      <name val="メイリオ"/>
      <b val="1"/>
      <color rgb="003D2F1F"/>
      <sz val="18"/>
    </font>
    <font>
      <name val="メイリオ"/>
      <i val="1"/>
      <color rgb="00666666"/>
      <sz val="10"/>
    </font>
    <font>
      <name val="メイリオ"/>
      <color rgb="003D2F1F"/>
      <sz val="11"/>
    </font>
    <font>
      <name val="メイリオ"/>
      <b val="1"/>
      <color rgb="008B6F47"/>
      <sz val="13"/>
    </font>
    <font>
      <name val="メイリオ"/>
      <b val="1"/>
      <color rgb="003D2F1F"/>
      <sz val="11"/>
    </font>
    <font>
      <name val="メイリオ"/>
      <b val="1"/>
      <color rgb="00FFFFFF"/>
      <sz val="11"/>
    </font>
    <font>
      <name val="メイリオ"/>
      <b val="1"/>
      <color rgb="003D2F1F"/>
      <sz val="13"/>
    </font>
  </fonts>
  <fills count="7">
    <fill>
      <patternFill/>
    </fill>
    <fill>
      <patternFill patternType="gray125"/>
    </fill>
    <fill>
      <patternFill patternType="solid">
        <fgColor rgb="00E8D5A7"/>
        <bgColor rgb="00E8D5A7"/>
      </patternFill>
    </fill>
    <fill>
      <patternFill patternType="solid">
        <fgColor rgb="00FDF6E3"/>
        <bgColor rgb="00FDF6E3"/>
      </patternFill>
    </fill>
    <fill>
      <patternFill patternType="solid">
        <fgColor rgb="008B6F47"/>
        <bgColor rgb="008B6F47"/>
      </patternFill>
    </fill>
    <fill>
      <patternFill patternType="solid">
        <fgColor rgb="00F0F0F0"/>
        <bgColor rgb="00F0F0F0"/>
      </patternFill>
    </fill>
    <fill>
      <patternFill patternType="solid">
        <fgColor rgb="00C8E6C9"/>
        <bgColor rgb="00C8E6C9"/>
      </patternFill>
    </fill>
  </fills>
  <borders count="3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medium">
        <color rgb="008B6F47"/>
      </left>
      <right style="medium">
        <color rgb="008B6F47"/>
      </right>
      <top style="medium">
        <color rgb="008B6F47"/>
      </top>
      <bottom style="medium">
        <color rgb="008B6F47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5" fillId="2" borderId="1" pivotButton="0" quotePrefix="0" xfId="0"/>
    <xf numFmtId="0" fontId="0" fillId="2" borderId="1" pivotButton="0" quotePrefix="0" xfId="0"/>
    <xf numFmtId="0" fontId="6" fillId="0" borderId="1" applyAlignment="1" pivotButton="0" quotePrefix="0" xfId="0">
      <alignment horizontal="left" vertical="center" wrapText="1"/>
    </xf>
    <xf numFmtId="164" fontId="6" fillId="3" borderId="2" applyAlignment="1" pivotButton="0" quotePrefix="0" xfId="0">
      <alignment horizontal="right" vertical="center"/>
    </xf>
    <xf numFmtId="0" fontId="7" fillId="4" borderId="0" pivotButton="0" quotePrefix="0" xfId="0"/>
    <xf numFmtId="164" fontId="4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1" fontId="6" fillId="3" borderId="2" applyAlignment="1" pivotButton="0" quotePrefix="0" xfId="0">
      <alignment horizontal="right" vertical="center"/>
    </xf>
    <xf numFmtId="164" fontId="8" fillId="6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0" fontId="6" fillId="2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6F47"/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 ht="32" customHeight="1">
      <c r="A1" s="1" t="inlineStr">
        <is>
          <t>🐪</t>
        </is>
      </c>
      <c r="B1" s="2" t="inlineStr">
        <is>
          <t>伊神流FP｜家計と先取り貯金テンプレ</t>
        </is>
      </c>
    </row>
    <row r="2">
      <c r="B2" s="3" t="inlineStr">
        <is>
          <t>「先取り貯金 → 残ったお金で生活」の流れを Excel で見える化</t>
        </is>
      </c>
    </row>
    <row r="3">
      <c r="B3" s="4" t="inlineStr"/>
    </row>
    <row r="4">
      <c r="B4" s="5" t="inlineStr">
        <is>
          <t>■ 使い方（5ステップ）</t>
        </is>
      </c>
    </row>
    <row r="5">
      <c r="B5" s="4" t="inlineStr">
        <is>
          <t>1. シート「一人暮らし用」または「ルームシェア用」を開く</t>
        </is>
      </c>
    </row>
    <row r="6">
      <c r="B6" s="4" t="inlineStr">
        <is>
          <t>2. 🟡黄色セル＝入力欄。手取り給料・ボーナス・固定費・生活費を埋める</t>
        </is>
      </c>
    </row>
    <row r="7">
      <c r="B7" s="4" t="inlineStr">
        <is>
          <t>3. ⬜灰色セル＝自動計算（触らない）</t>
        </is>
      </c>
    </row>
    <row r="8">
      <c r="B8" s="4" t="inlineStr">
        <is>
          <t>4. 🟩緑セル＝最終アウトプット（先取り貯金額・実質貯金額）</t>
        </is>
      </c>
    </row>
    <row r="9">
      <c r="B9" s="4" t="inlineStr">
        <is>
          <t>5. 目標貯金額（1〜5）を選んで、自分のペースを決める</t>
        </is>
      </c>
    </row>
    <row r="10">
      <c r="B10" s="4" t="inlineStr"/>
    </row>
    <row r="11">
      <c r="B11" s="5" t="inlineStr">
        <is>
          <t>■ シート構成</t>
        </is>
      </c>
    </row>
    <row r="12">
      <c r="B12" s="4" t="inlineStr">
        <is>
          <t>・一人暮らし用: 単身者向けの計算テンプレ</t>
        </is>
      </c>
    </row>
    <row r="13">
      <c r="B13" s="4" t="inlineStr">
        <is>
          <t>・ルームシェア用: 同居人と生活費を分担するパターン</t>
        </is>
      </c>
    </row>
    <row r="14">
      <c r="B14" s="4" t="inlineStr">
        <is>
          <t>・用語集: 数式に出てくる用語の説明</t>
        </is>
      </c>
    </row>
    <row r="15">
      <c r="B15" s="4" t="inlineStr"/>
    </row>
    <row r="16">
      <c r="B16" s="5" t="inlineStr">
        <is>
          <t>■ 実際の運用</t>
        </is>
      </c>
    </row>
    <row r="17">
      <c r="B17" s="4" t="inlineStr">
        <is>
          <t>・給料が入ったらまず「先取り貯金額」を貯金口座に振込</t>
        </is>
      </c>
    </row>
    <row r="18">
      <c r="B18" s="4" t="inlineStr">
        <is>
          <t>・「目標小遣い」と「小遣い合計」を見比べて使い方を決める</t>
        </is>
      </c>
    </row>
    <row r="19">
      <c r="B19" s="4" t="inlineStr">
        <is>
          <t>・残った小遣いを有意義に使い、月末に残ったらまた貯金口座へ</t>
        </is>
      </c>
    </row>
    <row r="20">
      <c r="B20" s="4" t="inlineStr"/>
    </row>
    <row r="21">
      <c r="B21" s="5" t="inlineStr">
        <is>
          <t>■ 注意</t>
        </is>
      </c>
    </row>
    <row r="22">
      <c r="B22" s="6" t="inlineStr">
        <is>
          <t>→ 入った数字はサンプルです。あなたの状況に書き換えてください</t>
        </is>
      </c>
    </row>
    <row r="23">
      <c r="B23" s="6" t="inlineStr">
        <is>
          <t>→ NISA・iDeCo は元本割れリスクあり、必ず自己責任で判断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DD2"/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4" customWidth="1" min="3" max="3"/>
    <col width="18" customWidth="1" min="4" max="4"/>
    <col width="32" customWidth="1" min="5" max="5"/>
  </cols>
  <sheetData>
    <row r="1" ht="32" customHeight="1">
      <c r="A1" s="1" t="inlineStr">
        <is>
          <t>🐪</t>
        </is>
      </c>
      <c r="B1" s="2" t="inlineStr">
        <is>
          <t>一人暮らし用</t>
        </is>
      </c>
    </row>
    <row r="2">
      <c r="B2" s="3" t="inlineStr">
        <is>
          <t>🟡入力 → ⬜自動計算 → 🟩アウトプット の順に見ます</t>
        </is>
      </c>
    </row>
    <row r="4" ht="24" customHeight="1">
      <c r="A4" s="7" t="inlineStr">
        <is>
          <t>① 収入を入力（🟡黄色セルだけ書き換え）</t>
        </is>
      </c>
      <c r="B4" s="8" t="n"/>
      <c r="C4" s="8" t="n"/>
      <c r="D4" s="8" t="n"/>
      <c r="E4" s="8" t="n"/>
    </row>
    <row r="5">
      <c r="A5" s="9" t="inlineStr">
        <is>
          <t>月手取り給料</t>
        </is>
      </c>
      <c r="B5" s="10" t="n">
        <v>200000</v>
      </c>
      <c r="C5" s="3" t="inlineStr">
        <is>
          <t>(税金・社保引いた額)</t>
        </is>
      </c>
    </row>
    <row r="6">
      <c r="A6" s="9" t="inlineStr">
        <is>
          <t>年間ボーナス（手取り）</t>
        </is>
      </c>
      <c r="B6" s="10" t="n">
        <v>1000000</v>
      </c>
      <c r="C6" s="3" t="inlineStr">
        <is>
          <t>(年2回合計)</t>
        </is>
      </c>
    </row>
    <row r="8" ht="24" customHeight="1">
      <c r="A8" s="7" t="inlineStr">
        <is>
          <t>② 固定費を入力（毎月絶対かかる費用）</t>
        </is>
      </c>
      <c r="B8" s="8" t="n"/>
      <c r="C8" s="8" t="n"/>
      <c r="D8" s="8" t="n"/>
      <c r="E8" s="8" t="n"/>
    </row>
    <row r="9">
      <c r="A9" s="11" t="inlineStr">
        <is>
          <t>項目</t>
        </is>
      </c>
      <c r="B9" s="11" t="inlineStr">
        <is>
          <t>月額</t>
        </is>
      </c>
    </row>
    <row r="10">
      <c r="A10" s="9" t="inlineStr">
        <is>
          <t>携帯代</t>
        </is>
      </c>
      <c r="B10" s="10" t="n">
        <v>4000</v>
      </c>
    </row>
    <row r="11">
      <c r="A11" s="9" t="inlineStr">
        <is>
          <t>保険料</t>
        </is>
      </c>
      <c r="B11" s="10" t="n">
        <v>3000</v>
      </c>
    </row>
    <row r="12">
      <c r="A12" s="9" t="inlineStr">
        <is>
          <t>ガソリン代</t>
        </is>
      </c>
      <c r="B12" s="10" t="n">
        <v>6000</v>
      </c>
    </row>
    <row r="13">
      <c r="A13" s="9" t="inlineStr">
        <is>
          <t>サブスク</t>
        </is>
      </c>
      <c r="B13" s="10" t="n">
        <v>3000</v>
      </c>
    </row>
    <row r="14">
      <c r="A14" s="9" t="inlineStr">
        <is>
          <t>奨学金</t>
        </is>
      </c>
      <c r="B14" s="10" t="n">
        <v>9000</v>
      </c>
    </row>
    <row r="15">
      <c r="A15" s="9" t="inlineStr"/>
      <c r="B15" s="10" t="inlineStr"/>
    </row>
    <row r="16">
      <c r="A16" s="9" t="inlineStr"/>
      <c r="B16" s="10" t="inlineStr"/>
    </row>
    <row r="17">
      <c r="A17" s="9" t="inlineStr">
        <is>
          <t>🔢 固定費 合計</t>
        </is>
      </c>
      <c r="B17" s="12">
        <f>SUM(B10:B16)</f>
        <v/>
      </c>
    </row>
    <row r="19" ht="24" customHeight="1">
      <c r="A19" s="7" t="inlineStr">
        <is>
          <t>③ 生活費を入力（住居系の費用）</t>
        </is>
      </c>
      <c r="B19" s="8" t="n"/>
      <c r="C19" s="8" t="n"/>
      <c r="D19" s="8" t="n"/>
      <c r="E19" s="8" t="n"/>
    </row>
    <row r="20">
      <c r="A20" s="11" t="inlineStr">
        <is>
          <t>項目</t>
        </is>
      </c>
      <c r="B20" s="11" t="inlineStr">
        <is>
          <t>月額</t>
        </is>
      </c>
    </row>
    <row r="21">
      <c r="A21" s="9" t="inlineStr">
        <is>
          <t>家賃</t>
        </is>
      </c>
      <c r="B21" s="10" t="n">
        <v>76500</v>
      </c>
    </row>
    <row r="22">
      <c r="A22" s="9" t="inlineStr">
        <is>
          <t>共益費</t>
        </is>
      </c>
      <c r="B22" s="10" t="n">
        <v>2200</v>
      </c>
    </row>
    <row r="23">
      <c r="A23" s="9" t="inlineStr">
        <is>
          <t>駐車場</t>
        </is>
      </c>
      <c r="B23" s="10" t="n">
        <v>8800</v>
      </c>
    </row>
    <row r="24">
      <c r="A24" s="9" t="inlineStr">
        <is>
          <t>通信費</t>
        </is>
      </c>
      <c r="B24" s="10" t="n">
        <v>6000</v>
      </c>
    </row>
    <row r="25">
      <c r="A25" s="9" t="inlineStr">
        <is>
          <t>水道</t>
        </is>
      </c>
      <c r="B25" s="10" t="n">
        <v>3000</v>
      </c>
    </row>
    <row r="26">
      <c r="A26" s="9" t="inlineStr">
        <is>
          <t>ガス</t>
        </is>
      </c>
      <c r="B26" s="10" t="n">
        <v>2000</v>
      </c>
    </row>
    <row r="27">
      <c r="A27" s="9" t="inlineStr">
        <is>
          <t>電気</t>
        </is>
      </c>
      <c r="B27" s="10" t="n">
        <v>5000</v>
      </c>
    </row>
    <row r="28">
      <c r="A28" s="9" t="inlineStr">
        <is>
          <t>食費</t>
        </is>
      </c>
      <c r="B28" s="10" t="n">
        <v>30000</v>
      </c>
    </row>
    <row r="29">
      <c r="A29" s="9" t="inlineStr">
        <is>
          <t>家賃手当 (引)</t>
        </is>
      </c>
      <c r="B29" s="10" t="n">
        <v>-27000</v>
      </c>
    </row>
    <row r="30">
      <c r="A30" s="9" t="inlineStr">
        <is>
          <t>🔢 生活費 合計</t>
        </is>
      </c>
      <c r="B30" s="12">
        <f>SUM(B21:B29)</f>
        <v/>
      </c>
    </row>
    <row r="32" ht="24" customHeight="1">
      <c r="A32" s="7" t="inlineStr">
        <is>
          <t>④ 自動計算（⬜灰色セル）</t>
        </is>
      </c>
      <c r="B32" s="8" t="n"/>
      <c r="C32" s="8" t="n"/>
      <c r="D32" s="8" t="n"/>
      <c r="E32" s="8" t="n"/>
    </row>
    <row r="33">
      <c r="A33" s="9" t="inlineStr">
        <is>
          <t>毎月の支出合計（固定費＋生活費）</t>
        </is>
      </c>
      <c r="B33" s="12">
        <f>B17+B30</f>
        <v/>
      </c>
    </row>
    <row r="34">
      <c r="A34" s="9" t="inlineStr">
        <is>
          <t>毎月の貯金可能額</t>
        </is>
      </c>
      <c r="B34" s="12">
        <f>B5-B33</f>
        <v/>
      </c>
    </row>
    <row r="35">
      <c r="A35" s="9" t="inlineStr">
        <is>
          <t>年間の貯金可能額（ボーナス込）</t>
        </is>
      </c>
      <c r="B35" s="12">
        <f>B34*12+B6</f>
        <v/>
      </c>
    </row>
    <row r="37" ht="24" customHeight="1">
      <c r="A37" s="7" t="inlineStr">
        <is>
          <t>⑤ 目標貯金総額を選ぶ（1〜5）</t>
        </is>
      </c>
      <c r="B37" s="8" t="n"/>
      <c r="C37" s="8" t="n"/>
      <c r="D37" s="8" t="n"/>
      <c r="E37" s="8" t="n"/>
    </row>
    <row r="38">
      <c r="A38" s="11" t="inlineStr">
        <is>
          <t>選択</t>
        </is>
      </c>
      <c r="B38" s="11" t="inlineStr">
        <is>
          <t>目標額</t>
        </is>
      </c>
      <c r="C38" s="11" t="inlineStr">
        <is>
          <t>月必要貯金</t>
        </is>
      </c>
      <c r="D38" s="11" t="inlineStr">
        <is>
          <t>月の小遣い目標</t>
        </is>
      </c>
      <c r="E38" s="11" t="inlineStr">
        <is>
          <t>達成までの月数</t>
        </is>
      </c>
    </row>
    <row r="39">
      <c r="A39" s="9" t="inlineStr">
        <is>
          <t>1</t>
        </is>
      </c>
      <c r="B39" s="10" t="n">
        <v>1000000</v>
      </c>
      <c r="C39" s="12">
        <f>ROUND((B39-B6)/12,0)</f>
        <v/>
      </c>
      <c r="D39" s="12">
        <f>ROUND((B5-B33-C39)/1000,0)*1000</f>
        <v/>
      </c>
      <c r="E39" s="13">
        <f>ROUND(B39/B34,1)</f>
        <v/>
      </c>
    </row>
    <row r="40">
      <c r="A40" s="9" t="inlineStr">
        <is>
          <t>2</t>
        </is>
      </c>
      <c r="B40" s="10" t="n">
        <v>1500000</v>
      </c>
      <c r="C40" s="12">
        <f>ROUND((B40-B6)/12,0)</f>
        <v/>
      </c>
      <c r="D40" s="12">
        <f>ROUND((B5-B33-C40)/1000,0)*1000</f>
        <v/>
      </c>
      <c r="E40" s="13">
        <f>ROUND(B40/B34,1)</f>
        <v/>
      </c>
    </row>
    <row r="41">
      <c r="A41" s="9" t="inlineStr">
        <is>
          <t>3</t>
        </is>
      </c>
      <c r="B41" s="10" t="n">
        <v>1800000</v>
      </c>
      <c r="C41" s="12">
        <f>ROUND((B41-B6)/12,0)</f>
        <v/>
      </c>
      <c r="D41" s="12">
        <f>ROUND((B5-B33-C41)/1000,0)*1000</f>
        <v/>
      </c>
      <c r="E41" s="13">
        <f>ROUND(B41/B34,1)</f>
        <v/>
      </c>
    </row>
    <row r="42">
      <c r="A42" s="9" t="inlineStr">
        <is>
          <t>4</t>
        </is>
      </c>
      <c r="B42" s="10" t="n">
        <v>2000000</v>
      </c>
      <c r="C42" s="12">
        <f>ROUND((B42-B6)/12,0)</f>
        <v/>
      </c>
      <c r="D42" s="12">
        <f>ROUND((B5-B33-C42)/1000,0)*1000</f>
        <v/>
      </c>
      <c r="E42" s="13">
        <f>ROUND(B42/B34,1)</f>
        <v/>
      </c>
    </row>
    <row r="43">
      <c r="A43" s="9" t="inlineStr">
        <is>
          <t>5</t>
        </is>
      </c>
      <c r="B43" s="10" t="n">
        <v>2500000</v>
      </c>
      <c r="C43" s="12">
        <f>ROUND((B43-B6)/12,0)</f>
        <v/>
      </c>
      <c r="D43" s="12">
        <f>ROUND((B5-B33-C43)/1000,0)*1000</f>
        <v/>
      </c>
      <c r="E43" s="13">
        <f>ROUND(B43/B34,1)</f>
        <v/>
      </c>
    </row>
    <row r="45">
      <c r="A45" s="9" t="inlineStr">
        <is>
          <t>↓どの目標を採用？ 番号を入力</t>
        </is>
      </c>
      <c r="B45" s="14" t="n">
        <v>4</v>
      </c>
      <c r="C45" s="3" t="inlineStr">
        <is>
          <t>(1〜5から選択)</t>
        </is>
      </c>
    </row>
    <row r="46">
      <c r="A46" s="9" t="inlineStr">
        <is>
          <t xml:space="preserve">  → 採用された目標小遣い</t>
        </is>
      </c>
      <c r="B46" s="12">
        <f>INDEX(D39:D43,B45)</f>
        <v/>
      </c>
    </row>
    <row r="48" ht="24" customHeight="1">
      <c r="A48" s="7" t="inlineStr">
        <is>
          <t>⑥ 投資配分（NISA / iDeCo を埋める）</t>
        </is>
      </c>
      <c r="B48" s="8" t="n"/>
      <c r="C48" s="8" t="n"/>
      <c r="D48" s="8" t="n"/>
      <c r="E48" s="8" t="n"/>
    </row>
    <row r="49">
      <c r="A49" s="9" t="inlineStr">
        <is>
          <t>NISA 月積立</t>
        </is>
      </c>
      <c r="B49" s="10" t="n">
        <v>30000</v>
      </c>
    </row>
    <row r="50">
      <c r="A50" s="9" t="inlineStr">
        <is>
          <t>iDeCo 月積立</t>
        </is>
      </c>
      <c r="B50" s="10" t="n">
        <v>0</v>
      </c>
    </row>
    <row r="52" ht="24" customHeight="1">
      <c r="A52" s="7" t="inlineStr">
        <is>
          <t>⑦ アウトプット（🟩緑セル）</t>
        </is>
      </c>
      <c r="B52" s="8" t="n"/>
      <c r="C52" s="8" t="n"/>
      <c r="D52" s="8" t="n"/>
      <c r="E52" s="8" t="n"/>
    </row>
    <row r="53">
      <c r="A53" s="9" t="inlineStr">
        <is>
          <t>💰 先取り貯金額（給料日に即振込）</t>
        </is>
      </c>
      <c r="B53" s="15">
        <f>ROUNDDOWN((B5-B33-B46)/1000,0)*1000-B49-B50</f>
        <v/>
      </c>
    </row>
    <row r="54">
      <c r="A54" s="9" t="inlineStr">
        <is>
          <t>💰 投資込みの月貯蓄合計</t>
        </is>
      </c>
      <c r="B54" s="15">
        <f>B53+B49+B50</f>
        <v/>
      </c>
    </row>
    <row r="55">
      <c r="A55" s="9" t="inlineStr">
        <is>
          <t>💰 実質年間貯蓄額（ボーナス込）</t>
        </is>
      </c>
      <c r="B55" s="15">
        <f>B55*12+B6</f>
        <v/>
      </c>
    </row>
    <row r="56">
      <c r="A56" s="9" t="inlineStr">
        <is>
          <t>💰 5年で貯まる累計（年利0%換算）</t>
        </is>
      </c>
      <c r="B56" s="15">
        <f>B55*5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BDEFB"/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4" customWidth="1" min="3" max="3"/>
    <col width="18" customWidth="1" min="4" max="4"/>
    <col width="32" customWidth="1" min="5" max="5"/>
  </cols>
  <sheetData>
    <row r="1" ht="32" customHeight="1">
      <c r="A1" s="1" t="inlineStr">
        <is>
          <t>🐪</t>
        </is>
      </c>
      <c r="B1" s="2" t="inlineStr">
        <is>
          <t>ルームシェア用</t>
        </is>
      </c>
    </row>
    <row r="2">
      <c r="B2" s="3" t="inlineStr">
        <is>
          <t>🟡入力 → ⬜自動計算 → 🟩アウトプット の順に見ます</t>
        </is>
      </c>
    </row>
    <row r="4" ht="24" customHeight="1">
      <c r="A4" s="7" t="inlineStr">
        <is>
          <t>① 収入を入力（🟡黄色セルだけ書き換え）</t>
        </is>
      </c>
      <c r="B4" s="8" t="n"/>
      <c r="C4" s="8" t="n"/>
      <c r="D4" s="8" t="n"/>
      <c r="E4" s="8" t="n"/>
    </row>
    <row r="5">
      <c r="A5" s="9" t="inlineStr">
        <is>
          <t>月手取り給料</t>
        </is>
      </c>
      <c r="B5" s="10" t="n">
        <v>190000</v>
      </c>
      <c r="C5" s="3" t="inlineStr">
        <is>
          <t>(税金・社保引いた額)</t>
        </is>
      </c>
    </row>
    <row r="6">
      <c r="A6" s="9" t="inlineStr">
        <is>
          <t>年間ボーナス（手取り）</t>
        </is>
      </c>
      <c r="B6" s="10" t="n">
        <v>0</v>
      </c>
      <c r="C6" s="3" t="inlineStr">
        <is>
          <t>(年2回合計)</t>
        </is>
      </c>
    </row>
    <row r="7">
      <c r="A7" s="9" t="inlineStr">
        <is>
          <t>シェア人数</t>
        </is>
      </c>
      <c r="B7" s="16" t="n">
        <v>2</v>
      </c>
      <c r="C7" s="3" t="inlineStr">
        <is>
          <t>(自分含む)</t>
        </is>
      </c>
    </row>
    <row r="9" ht="24" customHeight="1">
      <c r="A9" s="7" t="inlineStr">
        <is>
          <t>② 固定費を入力（毎月絶対かかる費用）</t>
        </is>
      </c>
      <c r="B9" s="8" t="n"/>
      <c r="C9" s="8" t="n"/>
      <c r="D9" s="8" t="n"/>
      <c r="E9" s="8" t="n"/>
    </row>
    <row r="10">
      <c r="A10" s="11" t="inlineStr">
        <is>
          <t>項目</t>
        </is>
      </c>
      <c r="B10" s="11" t="inlineStr">
        <is>
          <t>月額</t>
        </is>
      </c>
    </row>
    <row r="11">
      <c r="A11" s="9" t="inlineStr">
        <is>
          <t>携帯代</t>
        </is>
      </c>
      <c r="B11" s="10" t="n">
        <v>4000</v>
      </c>
    </row>
    <row r="12">
      <c r="A12" s="9" t="inlineStr">
        <is>
          <t>保険料</t>
        </is>
      </c>
      <c r="B12" s="10" t="n">
        <v>3000</v>
      </c>
    </row>
    <row r="13">
      <c r="A13" s="9" t="inlineStr">
        <is>
          <t>ガソリン代</t>
        </is>
      </c>
      <c r="B13" s="10" t="n">
        <v>6000</v>
      </c>
    </row>
    <row r="14">
      <c r="A14" s="9" t="inlineStr">
        <is>
          <t>サブスク</t>
        </is>
      </c>
      <c r="B14" s="10" t="n">
        <v>3000</v>
      </c>
    </row>
    <row r="15">
      <c r="A15" s="9" t="inlineStr">
        <is>
          <t>奨学金</t>
        </is>
      </c>
      <c r="B15" s="10" t="n">
        <v>9000</v>
      </c>
    </row>
    <row r="16">
      <c r="A16" s="9" t="inlineStr"/>
      <c r="B16" s="10" t="inlineStr"/>
    </row>
    <row r="17">
      <c r="A17" s="9" t="inlineStr"/>
      <c r="B17" s="10" t="inlineStr"/>
    </row>
    <row r="18">
      <c r="A18" s="9" t="inlineStr">
        <is>
          <t>🔢 固定費 合計</t>
        </is>
      </c>
      <c r="B18" s="12">
        <f>SUM(B11:B17)</f>
        <v/>
      </c>
    </row>
    <row r="20" ht="24" customHeight="1">
      <c r="A20" s="7" t="inlineStr">
        <is>
          <t>③ 生活費を入力（住居系の費用）</t>
        </is>
      </c>
      <c r="B20" s="8" t="n"/>
      <c r="C20" s="8" t="n"/>
      <c r="D20" s="8" t="n"/>
      <c r="E20" s="8" t="n"/>
    </row>
    <row r="21">
      <c r="A21" s="11" t="inlineStr">
        <is>
          <t>項目</t>
        </is>
      </c>
      <c r="B21" s="11" t="inlineStr">
        <is>
          <t>月額</t>
        </is>
      </c>
    </row>
    <row r="22">
      <c r="A22" s="9" t="inlineStr">
        <is>
          <t>家賃</t>
        </is>
      </c>
      <c r="B22" s="10" t="n">
        <v>76500</v>
      </c>
    </row>
    <row r="23">
      <c r="A23" s="9" t="inlineStr">
        <is>
          <t>共益費</t>
        </is>
      </c>
      <c r="B23" s="10" t="n">
        <v>2200</v>
      </c>
    </row>
    <row r="24">
      <c r="A24" s="9" t="inlineStr">
        <is>
          <t>駐車場</t>
        </is>
      </c>
      <c r="B24" s="10" t="n">
        <v>8800</v>
      </c>
    </row>
    <row r="25">
      <c r="A25" s="9" t="inlineStr">
        <is>
          <t>通信費</t>
        </is>
      </c>
      <c r="B25" s="10" t="n">
        <v>6000</v>
      </c>
    </row>
    <row r="26">
      <c r="A26" s="9" t="inlineStr">
        <is>
          <t>水道</t>
        </is>
      </c>
      <c r="B26" s="10" t="n">
        <v>3000</v>
      </c>
    </row>
    <row r="27">
      <c r="A27" s="9" t="inlineStr">
        <is>
          <t>ガス</t>
        </is>
      </c>
      <c r="B27" s="10" t="n">
        <v>2000</v>
      </c>
    </row>
    <row r="28">
      <c r="A28" s="9" t="inlineStr">
        <is>
          <t>電気</t>
        </is>
      </c>
      <c r="B28" s="10" t="n">
        <v>5000</v>
      </c>
    </row>
    <row r="29">
      <c r="A29" s="9" t="inlineStr">
        <is>
          <t>食費</t>
        </is>
      </c>
      <c r="B29" s="10" t="n">
        <v>30000</v>
      </c>
    </row>
    <row r="30">
      <c r="A30" s="9" t="inlineStr">
        <is>
          <t>家賃手当 (引)</t>
        </is>
      </c>
      <c r="B30" s="10" t="n">
        <v>-27000</v>
      </c>
    </row>
    <row r="31">
      <c r="A31" s="9" t="inlineStr">
        <is>
          <t>🔢 生活費 合計（世帯）</t>
        </is>
      </c>
      <c r="B31" s="12">
        <f>SUM(B22:B30)</f>
        <v/>
      </c>
    </row>
    <row r="32">
      <c r="A32" s="9" t="inlineStr">
        <is>
          <t>🔢 生活費 一人あたり</t>
        </is>
      </c>
      <c r="B32" s="12">
        <f>B31/B6</f>
        <v/>
      </c>
    </row>
    <row r="35" ht="24" customHeight="1">
      <c r="A35" s="7" t="inlineStr">
        <is>
          <t>④ 自動計算（⬜灰色セル）</t>
        </is>
      </c>
      <c r="B35" s="8" t="n"/>
      <c r="C35" s="8" t="n"/>
      <c r="D35" s="8" t="n"/>
      <c r="E35" s="8" t="n"/>
    </row>
    <row r="36">
      <c r="A36" s="9" t="inlineStr">
        <is>
          <t>毎月の支出合計（固定費＋生活費）</t>
        </is>
      </c>
      <c r="B36" s="12">
        <f>B18+B32</f>
        <v/>
      </c>
    </row>
    <row r="37">
      <c r="A37" s="9" t="inlineStr">
        <is>
          <t>毎月の貯金可能額</t>
        </is>
      </c>
      <c r="B37" s="12">
        <f>B5-B36</f>
        <v/>
      </c>
    </row>
    <row r="38">
      <c r="A38" s="9" t="inlineStr">
        <is>
          <t>年間の貯金可能額（ボーナス込）</t>
        </is>
      </c>
      <c r="B38" s="12">
        <f>B37*12+B6</f>
        <v/>
      </c>
    </row>
    <row r="40" ht="24" customHeight="1">
      <c r="A40" s="7" t="inlineStr">
        <is>
          <t>⑤ 目標貯金総額を選ぶ（1〜5）</t>
        </is>
      </c>
      <c r="B40" s="8" t="n"/>
      <c r="C40" s="8" t="n"/>
      <c r="D40" s="8" t="n"/>
      <c r="E40" s="8" t="n"/>
    </row>
    <row r="41">
      <c r="A41" s="11" t="inlineStr">
        <is>
          <t>選択</t>
        </is>
      </c>
      <c r="B41" s="11" t="inlineStr">
        <is>
          <t>目標額</t>
        </is>
      </c>
      <c r="C41" s="11" t="inlineStr">
        <is>
          <t>月必要貯金</t>
        </is>
      </c>
      <c r="D41" s="11" t="inlineStr">
        <is>
          <t>月の小遣い目標</t>
        </is>
      </c>
      <c r="E41" s="11" t="inlineStr">
        <is>
          <t>達成までの月数</t>
        </is>
      </c>
    </row>
    <row r="42">
      <c r="A42" s="9" t="inlineStr">
        <is>
          <t>1</t>
        </is>
      </c>
      <c r="B42" s="10" t="n">
        <v>1000000</v>
      </c>
      <c r="C42" s="12">
        <f>ROUND((B42-B6)/12,0)</f>
        <v/>
      </c>
      <c r="D42" s="12">
        <f>ROUND((B5-B36-C42)/1000,0)*1000</f>
        <v/>
      </c>
      <c r="E42" s="13">
        <f>ROUND(B42/B37,1)</f>
        <v/>
      </c>
    </row>
    <row r="43">
      <c r="A43" s="9" t="inlineStr">
        <is>
          <t>2</t>
        </is>
      </c>
      <c r="B43" s="10" t="n">
        <v>1500000</v>
      </c>
      <c r="C43" s="12">
        <f>ROUND((B43-B6)/12,0)</f>
        <v/>
      </c>
      <c r="D43" s="12">
        <f>ROUND((B5-B36-C43)/1000,0)*1000</f>
        <v/>
      </c>
      <c r="E43" s="13">
        <f>ROUND(B43/B37,1)</f>
        <v/>
      </c>
    </row>
    <row r="44">
      <c r="A44" s="9" t="inlineStr">
        <is>
          <t>3</t>
        </is>
      </c>
      <c r="B44" s="10" t="n">
        <v>1800000</v>
      </c>
      <c r="C44" s="12">
        <f>ROUND((B44-B6)/12,0)</f>
        <v/>
      </c>
      <c r="D44" s="12">
        <f>ROUND((B5-B36-C44)/1000,0)*1000</f>
        <v/>
      </c>
      <c r="E44" s="13">
        <f>ROUND(B44/B37,1)</f>
        <v/>
      </c>
    </row>
    <row r="45">
      <c r="A45" s="9" t="inlineStr">
        <is>
          <t>4</t>
        </is>
      </c>
      <c r="B45" s="10" t="n">
        <v>2000000</v>
      </c>
      <c r="C45" s="12">
        <f>ROUND((B45-B6)/12,0)</f>
        <v/>
      </c>
      <c r="D45" s="12">
        <f>ROUND((B5-B36-C45)/1000,0)*1000</f>
        <v/>
      </c>
      <c r="E45" s="13">
        <f>ROUND(B45/B37,1)</f>
        <v/>
      </c>
    </row>
    <row r="46">
      <c r="A46" s="9" t="inlineStr">
        <is>
          <t>5</t>
        </is>
      </c>
      <c r="B46" s="10" t="n">
        <v>2500000</v>
      </c>
      <c r="C46" s="12">
        <f>ROUND((B46-B6)/12,0)</f>
        <v/>
      </c>
      <c r="D46" s="12">
        <f>ROUND((B5-B36-C46)/1000,0)*1000</f>
        <v/>
      </c>
      <c r="E46" s="13">
        <f>ROUND(B46/B37,1)</f>
        <v/>
      </c>
    </row>
    <row r="48">
      <c r="A48" s="9" t="inlineStr">
        <is>
          <t>↓どの目標を採用？ 番号を入力</t>
        </is>
      </c>
      <c r="B48" s="14" t="n">
        <v>4</v>
      </c>
      <c r="C48" s="3" t="inlineStr">
        <is>
          <t>(1〜5から選択)</t>
        </is>
      </c>
    </row>
    <row r="49">
      <c r="A49" s="9" t="inlineStr">
        <is>
          <t xml:space="preserve">  → 採用された目標小遣い</t>
        </is>
      </c>
      <c r="B49" s="12">
        <f>INDEX(D42:D46,B48)</f>
        <v/>
      </c>
    </row>
    <row r="51" ht="24" customHeight="1">
      <c r="A51" s="7" t="inlineStr">
        <is>
          <t>⑥ 投資配分（NISA / iDeCo を埋める）</t>
        </is>
      </c>
      <c r="B51" s="8" t="n"/>
      <c r="C51" s="8" t="n"/>
      <c r="D51" s="8" t="n"/>
      <c r="E51" s="8" t="n"/>
    </row>
    <row r="52">
      <c r="A52" s="9" t="inlineStr">
        <is>
          <t>NISA 月積立</t>
        </is>
      </c>
      <c r="B52" s="10" t="n">
        <v>30000</v>
      </c>
    </row>
    <row r="53">
      <c r="A53" s="9" t="inlineStr">
        <is>
          <t>iDeCo 月積立</t>
        </is>
      </c>
      <c r="B53" s="10" t="n">
        <v>0</v>
      </c>
    </row>
    <row r="55" ht="24" customHeight="1">
      <c r="A55" s="7" t="inlineStr">
        <is>
          <t>⑦ アウトプット（🟩緑セル）</t>
        </is>
      </c>
      <c r="B55" s="8" t="n"/>
      <c r="C55" s="8" t="n"/>
      <c r="D55" s="8" t="n"/>
      <c r="E55" s="8" t="n"/>
    </row>
    <row r="56">
      <c r="A56" s="9" t="inlineStr">
        <is>
          <t>💰 先取り貯金額（給料日に即振込）</t>
        </is>
      </c>
      <c r="B56" s="15">
        <f>ROUNDDOWN((B5-B36-B49)/1000,0)*1000-B52-B53</f>
        <v/>
      </c>
    </row>
    <row r="57">
      <c r="A57" s="9" t="inlineStr">
        <is>
          <t>💰 投資込みの月貯蓄合計</t>
        </is>
      </c>
      <c r="B57" s="15">
        <f>B56+B52+B53</f>
        <v/>
      </c>
    </row>
    <row r="58">
      <c r="A58" s="9" t="inlineStr">
        <is>
          <t>💰 実質年間貯蓄額（ボーナス込）</t>
        </is>
      </c>
      <c r="B58" s="15">
        <f>B58*12+B6</f>
        <v/>
      </c>
    </row>
    <row r="59">
      <c r="A59" s="9" t="inlineStr">
        <is>
          <t>💰 5年で貯まる累計（年利0%換算）</t>
        </is>
      </c>
      <c r="B59" s="15">
        <f>B58*5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D5A7"/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70" customWidth="1" min="3" max="3"/>
  </cols>
  <sheetData>
    <row r="1" ht="32" customHeight="1">
      <c r="A1" s="1" t="inlineStr">
        <is>
          <t>🐪</t>
        </is>
      </c>
      <c r="B1" s="2" t="inlineStr">
        <is>
          <t>用語集</t>
        </is>
      </c>
    </row>
    <row r="4">
      <c r="B4" s="17" t="inlineStr">
        <is>
          <t>固定費</t>
        </is>
      </c>
      <c r="C4" s="18" t="inlineStr">
        <is>
          <t>携帯・保険・サブスクなど、毎月絶対かかる費用</t>
        </is>
      </c>
    </row>
    <row r="5">
      <c r="B5" s="17" t="inlineStr">
        <is>
          <t>生活費</t>
        </is>
      </c>
      <c r="C5" s="18" t="inlineStr">
        <is>
          <t>家賃・光熱費・食費など、住居系の費用</t>
        </is>
      </c>
    </row>
    <row r="6">
      <c r="B6" s="17" t="inlineStr">
        <is>
          <t>貯金可能額</t>
        </is>
      </c>
      <c r="C6" s="18" t="inlineStr">
        <is>
          <t>手取り − 固定費 − 生活費</t>
        </is>
      </c>
    </row>
    <row r="7">
      <c r="B7" s="17" t="inlineStr">
        <is>
          <t>必要貯金額(月)</t>
        </is>
      </c>
      <c r="C7" s="18" t="inlineStr">
        <is>
          <t>目標貯金総額を達成するために、毎月貯めるべき金額</t>
        </is>
      </c>
    </row>
    <row r="8">
      <c r="B8" s="17" t="inlineStr">
        <is>
          <t>目標小遣い</t>
        </is>
      </c>
      <c r="C8" s="18" t="inlineStr">
        <is>
          <t>手取り − 固定費 − 生活費 − 必要貯金額</t>
        </is>
      </c>
    </row>
    <row r="9">
      <c r="B9" s="17" t="inlineStr">
        <is>
          <t>実質貯金額</t>
        </is>
      </c>
      <c r="C9" s="18" t="inlineStr">
        <is>
          <t>目標小遣い × 12 + ボーナス（年間トータル貯蓄）</t>
        </is>
      </c>
    </row>
    <row r="10">
      <c r="B10" s="17" t="inlineStr">
        <is>
          <t>先取り貯金額</t>
        </is>
      </c>
      <c r="C10" s="18" t="inlineStr">
        <is>
          <t>給料が入ったら真っ先に貯金口座に振り込む金額</t>
        </is>
      </c>
    </row>
    <row r="11">
      <c r="B11" s="17" t="inlineStr">
        <is>
          <t>NISA</t>
        </is>
      </c>
      <c r="C11" s="18" t="inlineStr">
        <is>
          <t>投資信託の利益が非課税になる制度（年360万まで）</t>
        </is>
      </c>
    </row>
    <row r="12">
      <c r="B12" s="17" t="inlineStr">
        <is>
          <t>iDeCo</t>
        </is>
      </c>
      <c r="C12" s="18" t="inlineStr">
        <is>
          <t>個人型確定拠出年金。掛金が全額所得控除になる制度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D5A7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A1" t="inlineStr">
        <is>
          <t>🐪</t>
        </is>
      </c>
      <c r="B1" s="19" t="inlineStr">
        <is>
          <t>残業嫌いのらくだ先生</t>
        </is>
      </c>
    </row>
    <row r="2">
      <c r="A2" t="inlineStr"/>
      <c r="B2" s="4" t="inlineStr"/>
    </row>
    <row r="3">
      <c r="A3" t="inlineStr">
        <is>
          <t>■</t>
        </is>
      </c>
      <c r="B3" s="5" t="inlineStr">
        <is>
          <t>プロフィール</t>
        </is>
      </c>
    </row>
    <row r="4">
      <c r="A4" t="inlineStr"/>
      <c r="B4" s="4" t="inlineStr">
        <is>
          <t>公立中学校教員（国語・20代）</t>
        </is>
      </c>
    </row>
    <row r="5">
      <c r="A5" t="inlineStr"/>
      <c r="B5" s="4" t="inlineStr">
        <is>
          <t>ICT・AIで残業ゼロ ｜ 副業10万 ｜ 5年で2000万円貯金</t>
        </is>
      </c>
    </row>
    <row r="6">
      <c r="A6" t="inlineStr"/>
      <c r="B6" s="4" t="inlineStr">
        <is>
          <t>日本株デイトレで-50万やった失敗から、低リスクインデックス投資に振り切り。</t>
        </is>
      </c>
    </row>
    <row r="7">
      <c r="A7" t="inlineStr"/>
      <c r="B7" s="4" t="inlineStr"/>
    </row>
    <row r="8">
      <c r="A8" t="inlineStr">
        <is>
          <t>■</t>
        </is>
      </c>
      <c r="B8" s="5" t="inlineStr">
        <is>
          <t>発信中</t>
        </is>
      </c>
    </row>
    <row r="9">
      <c r="A9" t="inlineStr"/>
      <c r="B9" s="4" t="inlineStr">
        <is>
          <t>X (Twitter): @rakuda_sensei</t>
        </is>
      </c>
    </row>
    <row r="10">
      <c r="A10" t="inlineStr"/>
      <c r="B10" s="4" t="inlineStr">
        <is>
          <t>note: https://note.com/rakuda_sensei</t>
        </is>
      </c>
    </row>
    <row r="11">
      <c r="A11" t="inlineStr"/>
      <c r="B11" s="4" t="inlineStr">
        <is>
          <t>BOOTH: https://rakuda-sensei.booth.pm</t>
        </is>
      </c>
    </row>
    <row r="12">
      <c r="A12" t="inlineStr"/>
      <c r="B12" s="4" t="inlineStr"/>
    </row>
    <row r="13">
      <c r="A13" t="inlineStr">
        <is>
          <t>■</t>
        </is>
      </c>
      <c r="B13" s="5" t="inlineStr">
        <is>
          <t>ご利用について</t>
        </is>
      </c>
    </row>
    <row r="14">
      <c r="A14" t="inlineStr"/>
      <c r="B14" s="4" t="inlineStr">
        <is>
          <t>・本商品の個人利用・校内利用は自由</t>
        </is>
      </c>
    </row>
    <row r="15">
      <c r="A15" t="inlineStr"/>
      <c r="B15" s="4" t="inlineStr">
        <is>
          <t>・二次配布・転売は禁止</t>
        </is>
      </c>
    </row>
    <row r="16">
      <c r="A16" t="inlineStr"/>
      <c r="B16" s="4" t="inlineStr">
        <is>
          <t>・本商品の数式・テンプレで生じた結果について作者は責任を負いません</t>
        </is>
      </c>
    </row>
    <row r="17">
      <c r="A17" t="inlineStr"/>
      <c r="B17" s="4" t="inlineStr">
        <is>
          <t>・改善要望・不具合報告は X DM までお気軽に！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2026-06-02T08:23:53Z</dcterms:created>
  <dcterms:modified xsi:type="dcterms:W3CDTF">2026-06-02T08:23:53Z</dcterms:modified>
</cp:coreProperties>
</file>