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ミュレータ" sheetId="1" state="visible" r:id="rId1"/>
    <sheet name="年次推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メイリオ"/>
      <b val="1"/>
      <color rgb="003D2F1F"/>
      <sz val="18"/>
    </font>
    <font>
      <name val="メイリオ"/>
      <sz val="10"/>
    </font>
    <font>
      <name val="メイリオ"/>
      <b val="1"/>
      <color rgb="008B6F47"/>
      <sz val="12"/>
    </font>
    <font>
      <name val="メイリオ"/>
      <b val="1"/>
      <color rgb="003D2F1F"/>
      <sz val="11"/>
    </font>
    <font>
      <name val="メイリオ"/>
      <b val="1"/>
      <color rgb="00FFFFFF"/>
      <sz val="11"/>
    </font>
    <font>
      <name val="メイリオ"/>
      <b val="1"/>
      <color rgb="003D2F1F"/>
      <sz val="14"/>
    </font>
  </fonts>
  <fills count="4">
    <fill>
      <patternFill/>
    </fill>
    <fill>
      <patternFill patternType="gray125"/>
    </fill>
    <fill>
      <patternFill patternType="solid">
        <fgColor rgb="00FDF6E3"/>
        <bgColor rgb="00FDF6E3"/>
      </patternFill>
    </fill>
    <fill>
      <patternFill patternType="solid">
        <fgColor rgb="008B6F47"/>
        <bgColor rgb="008B6F4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3" fontId="0" fillId="0" borderId="1" pivotButton="0" quotePrefix="0" xfId="0"/>
    <xf numFmtId="1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6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🐪 オルカン+S&amp;P500｜投資配分シミュレータ</t>
        </is>
      </c>
    </row>
    <row r="2">
      <c r="A2" s="2" t="inlineStr">
        <is>
          <t>月積立・年利・年数を変えて、3つの配分パターンを比較</t>
        </is>
      </c>
    </row>
    <row r="4">
      <c r="A4" s="3" t="inlineStr">
        <is>
          <t>■ 入力</t>
        </is>
      </c>
    </row>
    <row r="5">
      <c r="A5" s="4" t="inlineStr">
        <is>
          <t>月積立額</t>
        </is>
      </c>
      <c r="B5" s="5" t="n">
        <v>150000</v>
      </c>
    </row>
    <row r="6">
      <c r="A6" s="4" t="inlineStr">
        <is>
          <t>想定年数</t>
        </is>
      </c>
      <c r="B6" s="6" t="n">
        <v>5</v>
      </c>
    </row>
    <row r="7">
      <c r="A7" s="4" t="inlineStr">
        <is>
          <t>現在資産</t>
        </is>
      </c>
      <c r="B7" s="5" t="n">
        <v>0</v>
      </c>
    </row>
    <row r="10">
      <c r="A10" s="3" t="inlineStr">
        <is>
          <t>■ 配分パターン比較 (期待年利)</t>
        </is>
      </c>
    </row>
    <row r="12">
      <c r="A12" s="7" t="inlineStr">
        <is>
          <t>パターン</t>
        </is>
      </c>
      <c r="B12" s="7" t="inlineStr">
        <is>
          <t>オルカン+SP500</t>
        </is>
      </c>
      <c r="C12" s="7" t="inlineStr">
        <is>
          <t>NASDAQ100</t>
        </is>
      </c>
      <c r="D12" s="7" t="inlineStr">
        <is>
          <t>ハイリスク枠</t>
        </is>
      </c>
      <c r="E12" s="7" t="inlineStr">
        <is>
          <t>期待年利</t>
        </is>
      </c>
    </row>
    <row r="13">
      <c r="A13" s="8" t="inlineStr">
        <is>
          <t>保守: 全世界株式100</t>
        </is>
      </c>
      <c r="B13" s="9" t="inlineStr">
        <is>
          <t>100%</t>
        </is>
      </c>
      <c r="C13" s="9" t="inlineStr">
        <is>
          <t>0%</t>
        </is>
      </c>
      <c r="D13" s="9" t="inlineStr">
        <is>
          <t>0%</t>
        </is>
      </c>
      <c r="E13" s="10" t="n">
        <v>0.04</v>
      </c>
    </row>
    <row r="14">
      <c r="A14" s="8" t="inlineStr">
        <is>
          <t>らくだ式 (80/15/5)</t>
        </is>
      </c>
      <c r="B14" s="9" t="inlineStr">
        <is>
          <t>80%</t>
        </is>
      </c>
      <c r="C14" s="9" t="inlineStr">
        <is>
          <t>15%</t>
        </is>
      </c>
      <c r="D14" s="9" t="inlineStr">
        <is>
          <t>5%</t>
        </is>
      </c>
      <c r="E14" s="10" t="n">
        <v>0.06</v>
      </c>
    </row>
    <row r="15">
      <c r="A15" s="8" t="inlineStr">
        <is>
          <t>攻撃: NASDAQ100中心</t>
        </is>
      </c>
      <c r="B15" s="9" t="inlineStr">
        <is>
          <t>30%</t>
        </is>
      </c>
      <c r="C15" s="9" t="inlineStr">
        <is>
          <t>60%</t>
        </is>
      </c>
      <c r="D15" s="9" t="inlineStr">
        <is>
          <t>10%</t>
        </is>
      </c>
      <c r="E15" s="10" t="n">
        <v>0.08</v>
      </c>
    </row>
    <row r="17">
      <c r="A17" s="3" t="inlineStr">
        <is>
          <t>■ 計算結果 (FV関数で複利計算)</t>
        </is>
      </c>
    </row>
    <row r="19">
      <c r="A19" s="7" t="inlineStr">
        <is>
          <t>パターン</t>
        </is>
      </c>
      <c r="B19" s="7" t="inlineStr">
        <is>
          <t>元本累計</t>
        </is>
      </c>
      <c r="C19" s="7" t="inlineStr">
        <is>
          <t>運用益込み</t>
        </is>
      </c>
      <c r="D19" s="7" t="inlineStr">
        <is>
          <t>運用益のみ</t>
        </is>
      </c>
    </row>
    <row r="20">
      <c r="A20" s="8" t="inlineStr">
        <is>
          <t>保守: 全世界株式100</t>
        </is>
      </c>
      <c r="B20" s="5">
        <f>$B$5*12*$B$6+$B$7</f>
        <v/>
      </c>
      <c r="C20" s="5">
        <f>FV(-0.04/12,$B$6*12,-$B$5,-$B$7)</f>
        <v/>
      </c>
      <c r="D20" s="5">
        <f>C20-B20</f>
        <v/>
      </c>
    </row>
    <row r="21">
      <c r="A21" s="8" t="inlineStr">
        <is>
          <t>らくだ式 (80/15/5)</t>
        </is>
      </c>
      <c r="B21" s="5">
        <f>$B$5*12*$B$6+$B$7</f>
        <v/>
      </c>
      <c r="C21" s="5">
        <f>FV(-0.06/12,$B$6*12,-$B$5,-$B$7)</f>
        <v/>
      </c>
      <c r="D21" s="5">
        <f>C21-B21</f>
        <v/>
      </c>
    </row>
    <row r="22">
      <c r="A22" s="8" t="inlineStr">
        <is>
          <t>攻撃: NASDAQ100中心</t>
        </is>
      </c>
      <c r="B22" s="5">
        <f>$B$5*12*$B$6+$B$7</f>
        <v/>
      </c>
      <c r="C22" s="5">
        <f>FV(-0.08/12,$B$6*12,-$B$5,-$B$7)</f>
        <v/>
      </c>
      <c r="D22" s="5">
        <f>C22-B22</f>
        <v/>
      </c>
    </row>
    <row r="25">
      <c r="A25" s="3" t="inlineStr">
        <is>
          <t>■ 注意事項</t>
        </is>
      </c>
    </row>
    <row r="26">
      <c r="A26" s="2" t="inlineStr">
        <is>
          <t>・想定年利はあくまで参考値（過去実績ベース）</t>
        </is>
      </c>
    </row>
    <row r="27">
      <c r="A27" s="2" t="inlineStr">
        <is>
          <t>・投資は元本割れリスクあり、必ず自己責任で判断</t>
        </is>
      </c>
    </row>
    <row r="28">
      <c r="A28" s="2" t="inlineStr">
        <is>
          <t>・らくだ式は個人の判断であり、推奨ではありません</t>
        </is>
      </c>
    </row>
    <row r="29">
      <c r="A29" s="2" t="inlineStr">
        <is>
          <t>・新NISA枠（年360万）の活用がベストケース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</cols>
  <sheetData>
    <row r="1">
      <c r="A1" s="11" t="inlineStr">
        <is>
          <t>らくだ式 (80/15/5) の年次推移</t>
        </is>
      </c>
    </row>
    <row r="3">
      <c r="A3" s="7" t="inlineStr">
        <is>
          <t>年</t>
        </is>
      </c>
      <c r="B3" s="7" t="inlineStr">
        <is>
          <t>元本</t>
        </is>
      </c>
      <c r="C3" s="7" t="inlineStr">
        <is>
          <t>運用益込み</t>
        </is>
      </c>
      <c r="D3" s="7" t="inlineStr">
        <is>
          <t>達成度 (vs 2000万)</t>
        </is>
      </c>
    </row>
    <row r="4">
      <c r="A4" t="n">
        <v>1</v>
      </c>
      <c r="B4" s="12">
        <f>シミュレータ!$B$5*12*1+シミュレータ!$B$7</f>
        <v/>
      </c>
      <c r="C4" s="12">
        <f>FV(-0.06/12,12,-シミュレータ!$B$5,-シミュレータ!$B$7)</f>
        <v/>
      </c>
      <c r="D4">
        <f>ROUND(C4/20000000*100,1)&amp;"%"</f>
        <v/>
      </c>
    </row>
    <row r="5">
      <c r="A5" t="n">
        <v>2</v>
      </c>
      <c r="B5" s="12">
        <f>シミュレータ!$B$5*12*2+シミュレータ!$B$7</f>
        <v/>
      </c>
      <c r="C5" s="12">
        <f>FV(-0.06/12,24,-シミュレータ!$B$5,-シミュレータ!$B$7)</f>
        <v/>
      </c>
      <c r="D5">
        <f>ROUND(C5/20000000*100,1)&amp;"%"</f>
        <v/>
      </c>
    </row>
    <row r="6">
      <c r="A6" t="n">
        <v>3</v>
      </c>
      <c r="B6" s="12">
        <f>シミュレータ!$B$5*12*3+シミュレータ!$B$7</f>
        <v/>
      </c>
      <c r="C6" s="12">
        <f>FV(-0.06/12,36,-シミュレータ!$B$5,-シミュレータ!$B$7)</f>
        <v/>
      </c>
      <c r="D6">
        <f>ROUND(C6/20000000*100,1)&amp;"%"</f>
        <v/>
      </c>
    </row>
    <row r="7">
      <c r="A7" t="n">
        <v>4</v>
      </c>
      <c r="B7" s="12">
        <f>シミュレータ!$B$5*12*4+シミュレータ!$B$7</f>
        <v/>
      </c>
      <c r="C7" s="12">
        <f>FV(-0.06/12,48,-シミュレータ!$B$5,-シミュレータ!$B$7)</f>
        <v/>
      </c>
      <c r="D7">
        <f>ROUND(C7/20000000*100,1)&amp;"%"</f>
        <v/>
      </c>
    </row>
    <row r="8">
      <c r="A8" t="n">
        <v>5</v>
      </c>
      <c r="B8" s="12">
        <f>シミュレータ!$B$5*12*5+シミュレータ!$B$7</f>
        <v/>
      </c>
      <c r="C8" s="12">
        <f>FV(-0.06/12,60,-シミュレータ!$B$5,-シミュレータ!$B$7)</f>
        <v/>
      </c>
      <c r="D8">
        <f>ROUND(C8/20000000*100,1)&amp;"%"</f>
        <v/>
      </c>
    </row>
    <row r="9">
      <c r="A9" t="n">
        <v>6</v>
      </c>
      <c r="B9" s="12">
        <f>シミュレータ!$B$5*12*6+シミュレータ!$B$7</f>
        <v/>
      </c>
      <c r="C9" s="12">
        <f>FV(-0.06/12,72,-シミュレータ!$B$5,-シミュレータ!$B$7)</f>
        <v/>
      </c>
      <c r="D9">
        <f>ROUND(C9/20000000*100,1)&amp;"%"</f>
        <v/>
      </c>
    </row>
    <row r="10">
      <c r="A10" t="n">
        <v>7</v>
      </c>
      <c r="B10" s="12">
        <f>シミュレータ!$B$5*12*7+シミュレータ!$B$7</f>
        <v/>
      </c>
      <c r="C10" s="12">
        <f>FV(-0.06/12,84,-シミュレータ!$B$5,-シミュレータ!$B$7)</f>
        <v/>
      </c>
      <c r="D10">
        <f>ROUND(C10/20000000*100,1)&amp;"%"</f>
        <v/>
      </c>
    </row>
    <row r="11">
      <c r="A11" t="n">
        <v>8</v>
      </c>
      <c r="B11" s="12">
        <f>シミュレータ!$B$5*12*8+シミュレータ!$B$7</f>
        <v/>
      </c>
      <c r="C11" s="12">
        <f>FV(-0.06/12,96,-シミュレータ!$B$5,-シミュレータ!$B$7)</f>
        <v/>
      </c>
      <c r="D11">
        <f>ROUND(C11/20000000*100,1)&amp;"%"</f>
        <v/>
      </c>
    </row>
    <row r="12">
      <c r="A12" t="n">
        <v>9</v>
      </c>
      <c r="B12" s="12">
        <f>シミュレータ!$B$5*12*9+シミュレータ!$B$7</f>
        <v/>
      </c>
      <c r="C12" s="12">
        <f>FV(-0.06/12,108,-シミュレータ!$B$5,-シミュレータ!$B$7)</f>
        <v/>
      </c>
      <c r="D12">
        <f>ROUND(C12/20000000*100,1)&amp;"%"</f>
        <v/>
      </c>
    </row>
    <row r="13">
      <c r="A13" t="n">
        <v>10</v>
      </c>
      <c r="B13" s="12">
        <f>シミュレータ!$B$5*12*10+シミュレータ!$B$7</f>
        <v/>
      </c>
      <c r="C13" s="12">
        <f>FV(-0.06/12,120,-シミュレータ!$B$5,-シミュレータ!$B$7)</f>
        <v/>
      </c>
      <c r="D13">
        <f>ROUND(C13/20000000*100,1)&amp;"%"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2026-06-01T14:32:03Z</dcterms:created>
  <dcterms:modified xsi:type="dcterms:W3CDTF">2026-06-01T14:32:03Z</dcterms:modified>
</cp:coreProperties>
</file>