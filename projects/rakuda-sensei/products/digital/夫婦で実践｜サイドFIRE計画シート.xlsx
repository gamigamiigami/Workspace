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入力" sheetId="2" state="visible" r:id="rId2"/>
    <sheet name="結論" sheetId="3" state="visible" r:id="rId3"/>
    <sheet name="年次推移" sheetId="4" state="visible" r:id="rId4"/>
    <sheet name="FIRE試算" sheetId="5" state="visible" r:id="rId5"/>
    <sheet name="らくだ先生について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歳&quot;"/>
    <numFmt numFmtId="165" formatCode="#,##0&quot;円&quot;"/>
    <numFmt numFmtId="166" formatCode="0.0%"/>
    <numFmt numFmtId="167" formatCode="0&quot;年&quot;"/>
    <numFmt numFmtId="168" formatCode="0.0&quot;年&quot;"/>
    <numFmt numFmtId="169" formatCode="0&quot;年後&quot;"/>
    <numFmt numFmtId="170" formatCode="#,##0&quot;円&quot;;[Red]-#,##0&quot;円&quot;"/>
  </numFmts>
  <fonts count="12">
    <font>
      <name val="Calibri"/>
      <family val="2"/>
      <color theme="1"/>
      <sz val="11"/>
      <scheme val="minor"/>
    </font>
    <font>
      <name val="メイリオ"/>
      <color rgb="003D2F1F"/>
      <sz val="24"/>
    </font>
    <font>
      <name val="メイリオ"/>
      <b val="1"/>
      <color rgb="003D2F1F"/>
      <sz val="20"/>
    </font>
    <font>
      <name val="メイリオ"/>
      <color rgb="00666666"/>
      <sz val="10"/>
    </font>
    <font>
      <name val="メイリオ"/>
      <color rgb="003D2F1F"/>
      <sz val="11"/>
    </font>
    <font>
      <name val="メイリオ"/>
      <b val="1"/>
      <color rgb="008B6F47"/>
      <sz val="13"/>
    </font>
    <font>
      <name val="メイリオ"/>
      <b val="1"/>
      <color rgb="008B6F47"/>
      <sz val="12"/>
    </font>
    <font>
      <name val="メイリオ"/>
      <b val="1"/>
      <color rgb="003D2F1F"/>
      <sz val="11"/>
    </font>
    <font>
      <name val="メイリオ"/>
      <b val="1"/>
      <color rgb="003D2F1F"/>
      <sz val="12"/>
    </font>
    <font>
      <name val="メイリオ"/>
      <i val="1"/>
      <color rgb="00999999"/>
      <sz val="9"/>
    </font>
    <font>
      <name val="メイリオ"/>
      <b val="1"/>
      <color rgb="003D2F1F"/>
      <sz val="18"/>
    </font>
    <font>
      <name val="メイリオ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E8D5A7"/>
        <bgColor rgb="00E8D5A7"/>
      </patternFill>
    </fill>
    <fill>
      <patternFill patternType="solid">
        <fgColor rgb="00FFF59D"/>
        <bgColor rgb="00FFF59D"/>
      </patternFill>
    </fill>
    <fill>
      <patternFill patternType="solid">
        <fgColor rgb="00A5D6A7"/>
        <bgColor rgb="00A5D6A7"/>
      </patternFill>
    </fill>
    <fill>
      <patternFill patternType="solid">
        <fgColor rgb="008B6F47"/>
        <bgColor rgb="008B6F47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8B6F47"/>
      </left>
      <right style="medium">
        <color rgb="008B6F47"/>
      </right>
      <top style="medium">
        <color rgb="008B6F47"/>
      </top>
      <bottom style="medium">
        <color rgb="008B6F47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7" fillId="0" borderId="1" applyAlignment="1" pivotButton="0" quotePrefix="0" xfId="0">
      <alignment horizontal="left" vertical="center" wrapText="1"/>
    </xf>
    <xf numFmtId="164" fontId="8" fillId="3" borderId="2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165" fontId="8" fillId="3" borderId="2" applyAlignment="1" pivotButton="0" quotePrefix="0" xfId="0">
      <alignment horizontal="right" vertical="center"/>
    </xf>
    <xf numFmtId="166" fontId="8" fillId="3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 wrapText="1"/>
    </xf>
    <xf numFmtId="165" fontId="10" fillId="4" borderId="2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49" fontId="10" fillId="4" borderId="2" applyAlignment="1" pivotButton="0" quotePrefix="0" xfId="0">
      <alignment horizontal="right" vertical="center"/>
    </xf>
    <xf numFmtId="166" fontId="10" fillId="4" borderId="2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170" fontId="0" fillId="0" borderId="1" applyAlignment="1" pivotButton="0" quotePrefix="0" xfId="0">
      <alignment horizontal="right" vertical="center"/>
    </xf>
    <xf numFmtId="0" fontId="7" fillId="0" borderId="1" pivotButton="0" quotePrefix="0" xfId="0"/>
    <xf numFmtId="166" fontId="0" fillId="0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165" fontId="7" fillId="4" borderId="2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B6F47"/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 ht="34" customHeight="1">
      <c r="A1" s="1" t="inlineStr">
        <is>
          <t>🐪</t>
        </is>
      </c>
      <c r="B1" s="2" t="inlineStr">
        <is>
          <t>夫婦で実践｜サイドFIRE計画シート v3</t>
        </is>
      </c>
    </row>
    <row r="2">
      <c r="B2" s="3" t="inlineStr">
        <is>
          <t>1シートに入力 → 結論シートで実現可否が即わかる</t>
        </is>
      </c>
    </row>
    <row r="3">
      <c r="B3" s="4" t="inlineStr"/>
    </row>
    <row r="4">
      <c r="B4" s="5" t="inlineStr">
        <is>
          <t>■ シート構成（読む順番）</t>
        </is>
      </c>
    </row>
    <row r="5">
      <c r="B5" s="4" t="inlineStr">
        <is>
          <t>1. 使い方 (このページ)</t>
        </is>
      </c>
    </row>
    <row r="6">
      <c r="B6" s="4" t="inlineStr">
        <is>
          <t>2. 🟡 入力 ← ここだけ書き換える！黄色セル全部</t>
        </is>
      </c>
    </row>
    <row r="7">
      <c r="B7" s="4" t="inlineStr">
        <is>
          <t>3. 🎯 結論 ← 結果を見る</t>
        </is>
      </c>
    </row>
    <row r="8">
      <c r="B8" s="4" t="inlineStr">
        <is>
          <t>4. 📊 年次推移 ← 何歳でいくら持てるかグラフ</t>
        </is>
      </c>
    </row>
    <row r="9">
      <c r="B9" s="4" t="inlineStr">
        <is>
          <t>5. 🔄 FIRE試算 ← 別シナリオの比較</t>
        </is>
      </c>
    </row>
    <row r="10">
      <c r="B10" s="4" t="inlineStr">
        <is>
          <t>6. 🐪 らくだ先生について</t>
        </is>
      </c>
    </row>
    <row r="11">
      <c r="B11" s="4" t="inlineStr"/>
    </row>
    <row r="12">
      <c r="B12" s="5" t="inlineStr">
        <is>
          <t>■ サイドFIREとは？</t>
        </is>
      </c>
    </row>
    <row r="13">
      <c r="B13" s="4" t="inlineStr">
        <is>
          <t>・フルFIRE = 資産収入だけで生活費が全部賄える状態</t>
        </is>
      </c>
    </row>
    <row r="14">
      <c r="B14" s="4" t="inlineStr">
        <is>
          <t>・サイドFIRE = 資産収入 + 緩めの労働(副業10-20万) で生活</t>
        </is>
      </c>
    </row>
    <row r="15">
      <c r="B15" s="6" t="inlineStr">
        <is>
          <t>→ フルFIREより早く現実的に到達できる戦略</t>
        </is>
      </c>
    </row>
    <row r="16">
      <c r="B16" s="4" t="inlineStr"/>
    </row>
    <row r="17">
      <c r="B17" s="5" t="inlineStr">
        <is>
          <t>■ 4%ルール (計算の根拠)</t>
        </is>
      </c>
    </row>
    <row r="18">
      <c r="B18" s="4" t="inlineStr">
        <is>
          <t>・必要資産 = 年生活費 × 25</t>
        </is>
      </c>
    </row>
    <row r="19">
      <c r="B19" s="4" t="inlineStr">
        <is>
          <t xml:space="preserve">  例: 年300万生活なら 300×25 = 7,500万円 必要 (フルFIRE)</t>
        </is>
      </c>
    </row>
    <row r="20">
      <c r="B20" s="4" t="inlineStr">
        <is>
          <t>・サイドFIRE = (年生活費 - 副業年収) × 25</t>
        </is>
      </c>
    </row>
    <row r="21">
      <c r="B21" s="4" t="inlineStr">
        <is>
          <t xml:space="preserve">  例: 副業年100万なら (300-100)×25 = 5,000万円 で到達</t>
        </is>
      </c>
    </row>
    <row r="22">
      <c r="B22" s="4" t="inlineStr"/>
    </row>
    <row r="23">
      <c r="B23" s="5" t="inlineStr">
        <is>
          <t>■ 使い方（3ステップ）</t>
        </is>
      </c>
    </row>
    <row r="24">
      <c r="B24" s="4" t="inlineStr">
        <is>
          <t>1. 「入力」シートで 🟡黄色セル を全部埋める (10〜12項目だけ)</t>
        </is>
      </c>
    </row>
    <row r="25">
      <c r="B25" s="4" t="inlineStr">
        <is>
          <t>2. 「結論」シートを開く</t>
        </is>
      </c>
    </row>
    <row r="26">
      <c r="B26" s="4" t="inlineStr">
        <is>
          <t>3. 🎯 サイドFIRE実現可否 / 不足額 / 達成年齢 を確認</t>
        </is>
      </c>
    </row>
    <row r="27">
      <c r="B27" s="4" t="inlineStr"/>
    </row>
    <row r="28">
      <c r="B28" s="5" t="inlineStr">
        <is>
          <t>■ 値の変更でシミュレーション</t>
        </is>
      </c>
    </row>
    <row r="29">
      <c r="B29" s="4" t="inlineStr">
        <is>
          <t>・月積立を5万増やすと何年早まる？ → 入力シートで月積立を増やして結論を見る</t>
        </is>
      </c>
    </row>
    <row r="30">
      <c r="B30" s="4" t="inlineStr">
        <is>
          <t>・想定年利を 3% → 5% にすると？ → 同じく入力で変えて結論を見る</t>
        </is>
      </c>
    </row>
    <row r="31">
      <c r="B31" s="4" t="inlineStr"/>
    </row>
    <row r="32">
      <c r="B32" s="5" t="inlineStr">
        <is>
          <t>■ 注意</t>
        </is>
      </c>
    </row>
    <row r="33">
      <c r="B33" s="6" t="inlineStr">
        <is>
          <t>→ サンプル数字は伊神さんの実例ベース</t>
        </is>
      </c>
    </row>
    <row r="34">
      <c r="B34" s="6" t="inlineStr">
        <is>
          <t>→ 想定年利は過去実績(オルカン+S&amp;P500で 5-7%)。元本割れリスクあり</t>
        </is>
      </c>
    </row>
    <row r="35">
      <c r="B35" s="6" t="inlineStr">
        <is>
          <t>→ 4%ルールは米国実績。日本では 3-3.5% 推奨説もあり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59D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50" customWidth="1" min="4" max="4"/>
    <col width="4" customWidth="1" min="5" max="5"/>
  </cols>
  <sheetData>
    <row r="1" ht="34" customHeight="1">
      <c r="A1" s="1" t="inlineStr">
        <is>
          <t>🐪</t>
        </is>
      </c>
      <c r="B1" s="2" t="inlineStr">
        <is>
          <t>入力｜🟡黄色セルだけ書き換える</t>
        </is>
      </c>
    </row>
    <row r="2">
      <c r="B2" s="3" t="inlineStr">
        <is>
          <t>全12項目・5分で埋まる</t>
        </is>
      </c>
    </row>
    <row r="4" ht="24" customHeight="1">
      <c r="A4" s="7" t="inlineStr">
        <is>
          <t>👤 基本情報</t>
        </is>
      </c>
      <c r="B4" s="8" t="n"/>
      <c r="C4" s="8" t="n"/>
      <c r="D4" s="8" t="n"/>
      <c r="E4" s="8" t="n"/>
    </row>
    <row r="5">
      <c r="B5" s="9" t="inlineStr">
        <is>
          <t>現在年齢</t>
        </is>
      </c>
      <c r="C5" s="10" t="n">
        <v>27</v>
      </c>
      <c r="D5" s="11" t="inlineStr">
        <is>
          <t>(2人のうち年上の方の年齢)</t>
        </is>
      </c>
    </row>
    <row r="6">
      <c r="B6" s="9" t="inlineStr">
        <is>
          <t>目標FIRE達成年齢</t>
        </is>
      </c>
      <c r="C6" s="10" t="n">
        <v>45</v>
      </c>
      <c r="D6" s="11" t="inlineStr">
        <is>
          <t>(何歳でセミリタイアしたいか)</t>
        </is>
      </c>
    </row>
    <row r="8" ht="24" customHeight="1">
      <c r="A8" s="7" t="inlineStr">
        <is>
          <t>💰 あなた（メイン稼ぎ手）の収支</t>
        </is>
      </c>
      <c r="B8" s="8" t="n"/>
      <c r="C8" s="8" t="n"/>
      <c r="D8" s="8" t="n"/>
      <c r="E8" s="8" t="n"/>
    </row>
    <row r="9">
      <c r="B9" s="9" t="inlineStr">
        <is>
          <t>月手取り給料</t>
        </is>
      </c>
      <c r="C9" s="12" t="n">
        <v>250000</v>
      </c>
    </row>
    <row r="10">
      <c r="B10" s="9" t="inlineStr">
        <is>
          <t>ボーナス年合計（手取り）</t>
        </is>
      </c>
      <c r="C10" s="12" t="n">
        <v>1000000</v>
      </c>
    </row>
    <row r="11">
      <c r="B11" s="9" t="inlineStr">
        <is>
          <t>月生活費（あなたの分）</t>
        </is>
      </c>
      <c r="C11" s="12" t="n">
        <v>100000</v>
      </c>
    </row>
    <row r="13" ht="24" customHeight="1">
      <c r="A13" s="7" t="inlineStr">
        <is>
          <t>💑 パートナーの収支</t>
        </is>
      </c>
      <c r="B13" s="8" t="n"/>
      <c r="C13" s="8" t="n"/>
      <c r="D13" s="8" t="n"/>
      <c r="E13" s="8" t="n"/>
    </row>
    <row r="14">
      <c r="B14" s="9" t="inlineStr">
        <is>
          <t>月手取り給料</t>
        </is>
      </c>
      <c r="C14" s="12" t="n">
        <v>200000</v>
      </c>
    </row>
    <row r="15">
      <c r="B15" s="9" t="inlineStr">
        <is>
          <t>ボーナス年合計（手取り）</t>
        </is>
      </c>
      <c r="C15" s="12" t="n">
        <v>600000</v>
      </c>
    </row>
    <row r="16">
      <c r="B16" s="9" t="inlineStr">
        <is>
          <t>月生活費（パートナーの分）</t>
        </is>
      </c>
      <c r="C16" s="12" t="n">
        <v>80000</v>
      </c>
    </row>
    <row r="18" ht="24" customHeight="1">
      <c r="A18" s="7" t="inlineStr">
        <is>
          <t>💎 現在の資産と投資設定（夫婦合算）</t>
        </is>
      </c>
      <c r="B18" s="8" t="n"/>
      <c r="C18" s="8" t="n"/>
      <c r="D18" s="8" t="n"/>
      <c r="E18" s="8" t="n"/>
    </row>
    <row r="19">
      <c r="B19" s="9" t="inlineStr">
        <is>
          <t>現在の総資産（貯金+運用）</t>
        </is>
      </c>
      <c r="C19" s="12" t="n">
        <v>2000000</v>
      </c>
      <c r="D19" s="11" t="inlineStr">
        <is>
          <t>(2人合計)</t>
        </is>
      </c>
    </row>
    <row r="20">
      <c r="B20" s="9" t="inlineStr">
        <is>
          <t>月積立額（NISA+iDeCo合計）</t>
        </is>
      </c>
      <c r="C20" s="12" t="n">
        <v>150000</v>
      </c>
      <c r="D20" s="11" t="inlineStr">
        <is>
          <t>(2人合計)</t>
        </is>
      </c>
    </row>
    <row r="21">
      <c r="B21" s="9" t="inlineStr">
        <is>
          <t>想定年利</t>
        </is>
      </c>
      <c r="C21" s="13" t="n">
        <v>0.05</v>
      </c>
      <c r="D21" s="11" t="inlineStr">
        <is>
          <t>(オルカン+SP500なら5-6%程度)</t>
        </is>
      </c>
    </row>
    <row r="23" ht="24" customHeight="1">
      <c r="A23" s="7" t="inlineStr">
        <is>
          <t>🎯 サイドFIRE後の想定</t>
        </is>
      </c>
      <c r="B23" s="8" t="n"/>
      <c r="C23" s="8" t="n"/>
      <c r="D23" s="8" t="n"/>
      <c r="E23" s="8" t="n"/>
    </row>
    <row r="24">
      <c r="B24" s="9" t="inlineStr">
        <is>
          <t>FIRE後の月生活費（夫婦）</t>
        </is>
      </c>
      <c r="C24" s="12" t="n">
        <v>250000</v>
      </c>
      <c r="D24" s="11" t="inlineStr">
        <is>
          <t>(リタイア後の家計)</t>
        </is>
      </c>
    </row>
    <row r="25">
      <c r="B25" s="9" t="inlineStr">
        <is>
          <t>FIRE後の副業月収（緩い労働）</t>
        </is>
      </c>
      <c r="C25" s="12" t="n">
        <v>100000</v>
      </c>
      <c r="D25" s="11" t="inlineStr">
        <is>
          <t>(資産取崩しを抑える分)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D6A7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2" customWidth="1" min="3" max="3"/>
    <col width="50" customWidth="1" min="4" max="4"/>
    <col width="4" customWidth="1" min="5" max="5"/>
  </cols>
  <sheetData>
    <row r="1" ht="34" customHeight="1">
      <c r="A1" s="1" t="inlineStr">
        <is>
          <t>🐪</t>
        </is>
      </c>
      <c r="B1" s="2" t="inlineStr">
        <is>
          <t>🎯 結論｜あなたのサイドFIRE達成見込み</t>
        </is>
      </c>
    </row>
    <row r="2">
      <c r="B2" s="3" t="inlineStr">
        <is>
          <t>下の緑セルが答え（入力を変えるとリアルタイムで更新）</t>
        </is>
      </c>
    </row>
    <row r="4" ht="24" customHeight="1">
      <c r="A4" s="7" t="inlineStr">
        <is>
          <t>Step 1: 必要な総資産はいくら？（4%ルール）</t>
        </is>
      </c>
      <c r="B4" s="8" t="n"/>
      <c r="C4" s="8" t="n"/>
      <c r="D4" s="8" t="n"/>
      <c r="E4" s="8" t="n"/>
    </row>
    <row r="5">
      <c r="B5" s="14" t="inlineStr">
        <is>
          <t>FIRE後の年間生活費（夫婦）</t>
        </is>
      </c>
      <c r="C5" s="15">
        <f>入力!$C$24*12</f>
        <v/>
      </c>
    </row>
    <row r="6">
      <c r="B6" s="14" t="inlineStr">
        <is>
          <t>FIRE後の年間副業収入</t>
        </is>
      </c>
      <c r="C6" s="15">
        <f>入力!$C$25*12</f>
        <v/>
      </c>
    </row>
    <row r="7">
      <c r="B7" s="14" t="inlineStr">
        <is>
          <t>資産取崩しが必要な年額</t>
        </is>
      </c>
      <c r="C7" s="15">
        <f>C5-C6</f>
        <v/>
      </c>
      <c r="D7" s="6">
        <f> 生活費 - 副業</f>
        <v/>
      </c>
    </row>
    <row r="8" ht="28" customHeight="1">
      <c r="B8" s="16" t="inlineStr">
        <is>
          <t>💡 サイドFIREに必要な総資産</t>
        </is>
      </c>
      <c r="C8" s="17">
        <f>C7*25</f>
        <v/>
      </c>
      <c r="D8" s="6" t="inlineStr">
        <is>
          <t>(4%ルールで25倍)</t>
        </is>
      </c>
    </row>
    <row r="10" ht="24" customHeight="1">
      <c r="A10" s="7" t="inlineStr">
        <is>
          <t>Step 2: 目標年齢に到達できる資産は？</t>
        </is>
      </c>
      <c r="B10" s="8" t="n"/>
      <c r="C10" s="8" t="n"/>
      <c r="D10" s="8" t="n"/>
      <c r="E10" s="8" t="n"/>
    </row>
    <row r="11">
      <c r="B11" s="14" t="inlineStr">
        <is>
          <t>目標FIREまでの年数</t>
        </is>
      </c>
      <c r="C11" s="18">
        <f>入力!$C$6-入力!$C$5</f>
        <v/>
      </c>
    </row>
    <row r="12">
      <c r="B12" s="14" t="inlineStr">
        <is>
          <t>夫婦の月積立額</t>
        </is>
      </c>
      <c r="C12" s="15">
        <f>入力!$C$20</f>
        <v/>
      </c>
    </row>
    <row r="13">
      <c r="B13" s="14" t="inlineStr">
        <is>
          <t>想定年利</t>
        </is>
      </c>
      <c r="C13" s="19">
        <f>入力!$C$21</f>
        <v/>
      </c>
    </row>
    <row r="14" ht="28" customHeight="1">
      <c r="B14" s="16" t="inlineStr">
        <is>
          <t>💰 目標年齢時の予想資産</t>
        </is>
      </c>
      <c r="C14" s="17">
        <f>FV(入力!$C$21/12,C11*12,-入力!$C$20,-入力!$C$19)</f>
        <v/>
      </c>
      <c r="D14" s="6" t="inlineStr">
        <is>
          <t>(複利計算)</t>
        </is>
      </c>
    </row>
    <row r="16" ht="24" customHeight="1">
      <c r="A16" s="7" t="inlineStr">
        <is>
          <t>Step 3: サイドFIRE達成見込みは？</t>
        </is>
      </c>
      <c r="B16" s="8" t="n"/>
      <c r="C16" s="8" t="n"/>
      <c r="D16" s="8" t="n"/>
      <c r="E16" s="8" t="n"/>
    </row>
    <row r="17" ht="28" customHeight="1">
      <c r="B17" s="16" t="inlineStr">
        <is>
          <t>✅ 達成判定</t>
        </is>
      </c>
      <c r="C17" s="20">
        <f>IF(C14&gt;=C8,"✓ 達成見込み！","✗ あと少し")</f>
        <v/>
      </c>
    </row>
    <row r="18" ht="28" customHeight="1">
      <c r="B18" s="16" t="inlineStr">
        <is>
          <t>📊 達成率</t>
        </is>
      </c>
      <c r="C18" s="21">
        <f>C14/C8</f>
        <v/>
      </c>
    </row>
    <row r="19" ht="28" customHeight="1">
      <c r="B19" s="16" t="inlineStr">
        <is>
          <t>📉 不足額（達成のためにあといくら必要）</t>
        </is>
      </c>
      <c r="C19" s="17">
        <f>MAX(0,C8-C14)</f>
        <v/>
      </c>
    </row>
    <row r="20" ht="28" customHeight="1">
      <c r="B20" s="16" t="inlineStr">
        <is>
          <t>📈 月積立をあといくら増やせば達成？</t>
        </is>
      </c>
      <c r="C20" s="17">
        <f>IFERROR(MAX(0,(PMT(入力!$C$21/12,C11*12,-入力!$C$19,-C8)-(-入力!$C$20))*-1),0)</f>
        <v/>
      </c>
    </row>
    <row r="22" ht="24" customHeight="1">
      <c r="A22" s="7" t="inlineStr">
        <is>
          <t>💡 別シナリオ（参考）</t>
        </is>
      </c>
      <c r="B22" s="8" t="n"/>
      <c r="C22" s="8" t="n"/>
      <c r="D22" s="8" t="n"/>
      <c r="E22" s="8" t="n"/>
    </row>
    <row r="23">
      <c r="B23" s="14" t="inlineStr">
        <is>
          <t>現状ペース継続 → 必要額到達は何歳？</t>
        </is>
      </c>
      <c r="C23" s="22">
        <f>IFERROR(入力!$C$5+ROUND(NPER(入力!$C$21/12,-入力!$C$20,-入力!$C$19,C8)/12,0),"-")</f>
        <v/>
      </c>
      <c r="D23" s="6" t="inlineStr">
        <is>
          <t>(月積立を続けて何歳で必要額に届くか)</t>
        </is>
      </c>
    </row>
    <row r="24">
      <c r="B24" s="14" t="inlineStr">
        <is>
          <t>今すぐ取崩したら何年もつか</t>
        </is>
      </c>
      <c r="C24" s="23">
        <f>IFERROR(ROUND(NPER(入力!$C$21/12,-C7/12,-入力!$C$19)/12,1),"資産不足")</f>
        <v/>
      </c>
      <c r="D24" s="6" t="inlineStr">
        <is>
          <t>(資産取崩し開始時の寿命)</t>
        </is>
      </c>
    </row>
    <row r="26" ht="24" customHeight="1">
      <c r="A26" s="7" t="inlineStr">
        <is>
          <t>👀 入力シートで試すこと</t>
        </is>
      </c>
      <c r="B26" s="8" t="n"/>
      <c r="C26" s="8" t="n"/>
      <c r="D26" s="8" t="n"/>
      <c r="E26" s="8" t="n"/>
    </row>
    <row r="27">
      <c r="B27" s="4" t="inlineStr">
        <is>
          <t>・月積立を 15万 → 20万 にすると達成年齢どう変わる？</t>
        </is>
      </c>
    </row>
    <row r="28">
      <c r="B28" s="4" t="inlineStr">
        <is>
          <t>・想定年利を 5% → 4% に下げると不足額は？</t>
        </is>
      </c>
    </row>
    <row r="29">
      <c r="B29" s="4" t="inlineStr">
        <is>
          <t>・FIRE後の副業を 10万 → 15万 にすると必要資産がどれだけ減る？</t>
        </is>
      </c>
    </row>
    <row r="30">
      <c r="B30" s="4" t="inlineStr">
        <is>
          <t>・目標年齢を 45 → 50歳 にすると余裕は出る？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BDEFB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22" customWidth="1" min="3" max="3"/>
    <col width="22" customWidth="1" min="4" max="4"/>
    <col width="28" customWidth="1" min="5" max="5"/>
  </cols>
  <sheetData>
    <row r="1" ht="34" customHeight="1">
      <c r="A1" s="1" t="inlineStr">
        <is>
          <t>🐪</t>
        </is>
      </c>
      <c r="B1" s="2" t="inlineStr">
        <is>
          <t>📊 年次推移｜年齢別の予想資産</t>
        </is>
      </c>
    </row>
    <row r="4" ht="24" customHeight="1">
      <c r="A4" s="7" t="inlineStr">
        <is>
          <t>現在の入力ペースで何歳でいくら？</t>
        </is>
      </c>
      <c r="B4" s="8" t="n"/>
      <c r="C4" s="8" t="n"/>
      <c r="D4" s="8" t="n"/>
      <c r="E4" s="8" t="n"/>
    </row>
    <row r="5">
      <c r="B5" s="24" t="inlineStr">
        <is>
          <t>年齢</t>
        </is>
      </c>
      <c r="C5" s="24" t="inlineStr">
        <is>
          <t>経過年数</t>
        </is>
      </c>
      <c r="D5" s="24" t="inlineStr">
        <is>
          <t>予想資産</t>
        </is>
      </c>
      <c r="E5" s="24" t="inlineStr">
        <is>
          <t>必要資産との差</t>
        </is>
      </c>
    </row>
    <row r="6">
      <c r="B6" s="25">
        <f>入力!$C$5+0</f>
        <v/>
      </c>
      <c r="C6" s="26" t="n">
        <v>0</v>
      </c>
      <c r="D6" s="27">
        <f>入力!$C$19</f>
        <v/>
      </c>
      <c r="E6" s="28">
        <f>D6-結論!C8</f>
        <v/>
      </c>
    </row>
    <row r="7">
      <c r="B7" s="25">
        <f>入力!$C$5+1</f>
        <v/>
      </c>
      <c r="C7" s="26" t="n">
        <v>1</v>
      </c>
      <c r="D7" s="27">
        <f>FV(入力!$C$21/12,1*12,-入力!$C$20,-入力!$C$19)</f>
        <v/>
      </c>
      <c r="E7" s="28">
        <f>D7-結論!C8</f>
        <v/>
      </c>
    </row>
    <row r="8">
      <c r="B8" s="25">
        <f>入力!$C$5+2</f>
        <v/>
      </c>
      <c r="C8" s="26" t="n">
        <v>2</v>
      </c>
      <c r="D8" s="27">
        <f>FV(入力!$C$21/12,2*12,-入力!$C$20,-入力!$C$19)</f>
        <v/>
      </c>
      <c r="E8" s="28">
        <f>D8-結論!C8</f>
        <v/>
      </c>
    </row>
    <row r="9">
      <c r="B9" s="25">
        <f>入力!$C$5+3</f>
        <v/>
      </c>
      <c r="C9" s="26" t="n">
        <v>3</v>
      </c>
      <c r="D9" s="27">
        <f>FV(入力!$C$21/12,3*12,-入力!$C$20,-入力!$C$19)</f>
        <v/>
      </c>
      <c r="E9" s="28">
        <f>D9-結論!C8</f>
        <v/>
      </c>
    </row>
    <row r="10">
      <c r="B10" s="25">
        <f>入力!$C$5+4</f>
        <v/>
      </c>
      <c r="C10" s="26" t="n">
        <v>4</v>
      </c>
      <c r="D10" s="27">
        <f>FV(入力!$C$21/12,4*12,-入力!$C$20,-入力!$C$19)</f>
        <v/>
      </c>
      <c r="E10" s="28">
        <f>D10-結論!C8</f>
        <v/>
      </c>
    </row>
    <row r="11">
      <c r="B11" s="25">
        <f>入力!$C$5+5</f>
        <v/>
      </c>
      <c r="C11" s="26" t="n">
        <v>5</v>
      </c>
      <c r="D11" s="27">
        <f>FV(入力!$C$21/12,5*12,-入力!$C$20,-入力!$C$19)</f>
        <v/>
      </c>
      <c r="E11" s="28">
        <f>D11-結論!C8</f>
        <v/>
      </c>
    </row>
    <row r="12">
      <c r="B12" s="25">
        <f>入力!$C$5+6</f>
        <v/>
      </c>
      <c r="C12" s="26" t="n">
        <v>6</v>
      </c>
      <c r="D12" s="27">
        <f>FV(入力!$C$21/12,6*12,-入力!$C$20,-入力!$C$19)</f>
        <v/>
      </c>
      <c r="E12" s="28">
        <f>D12-結論!C8</f>
        <v/>
      </c>
    </row>
    <row r="13">
      <c r="B13" s="25">
        <f>入力!$C$5+7</f>
        <v/>
      </c>
      <c r="C13" s="26" t="n">
        <v>7</v>
      </c>
      <c r="D13" s="27">
        <f>FV(入力!$C$21/12,7*12,-入力!$C$20,-入力!$C$19)</f>
        <v/>
      </c>
      <c r="E13" s="28">
        <f>D13-結論!C8</f>
        <v/>
      </c>
    </row>
    <row r="14">
      <c r="B14" s="25">
        <f>入力!$C$5+8</f>
        <v/>
      </c>
      <c r="C14" s="26" t="n">
        <v>8</v>
      </c>
      <c r="D14" s="27">
        <f>FV(入力!$C$21/12,8*12,-入力!$C$20,-入力!$C$19)</f>
        <v/>
      </c>
      <c r="E14" s="28">
        <f>D14-結論!C8</f>
        <v/>
      </c>
    </row>
    <row r="15">
      <c r="B15" s="25">
        <f>入力!$C$5+9</f>
        <v/>
      </c>
      <c r="C15" s="26" t="n">
        <v>9</v>
      </c>
      <c r="D15" s="27">
        <f>FV(入力!$C$21/12,9*12,-入力!$C$20,-入力!$C$19)</f>
        <v/>
      </c>
      <c r="E15" s="28">
        <f>D15-結論!C8</f>
        <v/>
      </c>
    </row>
    <row r="16">
      <c r="B16" s="25">
        <f>入力!$C$5+10</f>
        <v/>
      </c>
      <c r="C16" s="26" t="n">
        <v>10</v>
      </c>
      <c r="D16" s="27">
        <f>FV(入力!$C$21/12,10*12,-入力!$C$20,-入力!$C$19)</f>
        <v/>
      </c>
      <c r="E16" s="28">
        <f>D16-結論!C8</f>
        <v/>
      </c>
    </row>
    <row r="17">
      <c r="B17" s="25">
        <f>入力!$C$5+11</f>
        <v/>
      </c>
      <c r="C17" s="26" t="n">
        <v>11</v>
      </c>
      <c r="D17" s="27">
        <f>FV(入力!$C$21/12,11*12,-入力!$C$20,-入力!$C$19)</f>
        <v/>
      </c>
      <c r="E17" s="28">
        <f>D17-結論!C8</f>
        <v/>
      </c>
    </row>
    <row r="18">
      <c r="B18" s="25">
        <f>入力!$C$5+12</f>
        <v/>
      </c>
      <c r="C18" s="26" t="n">
        <v>12</v>
      </c>
      <c r="D18" s="27">
        <f>FV(入力!$C$21/12,12*12,-入力!$C$20,-入力!$C$19)</f>
        <v/>
      </c>
      <c r="E18" s="28">
        <f>D18-結論!C8</f>
        <v/>
      </c>
    </row>
    <row r="19">
      <c r="B19" s="25">
        <f>入力!$C$5+13</f>
        <v/>
      </c>
      <c r="C19" s="26" t="n">
        <v>13</v>
      </c>
      <c r="D19" s="27">
        <f>FV(入力!$C$21/12,13*12,-入力!$C$20,-入力!$C$19)</f>
        <v/>
      </c>
      <c r="E19" s="28">
        <f>D19-結論!C8</f>
        <v/>
      </c>
    </row>
    <row r="20">
      <c r="B20" s="25">
        <f>入力!$C$5+14</f>
        <v/>
      </c>
      <c r="C20" s="26" t="n">
        <v>14</v>
      </c>
      <c r="D20" s="27">
        <f>FV(入力!$C$21/12,14*12,-入力!$C$20,-入力!$C$19)</f>
        <v/>
      </c>
      <c r="E20" s="28">
        <f>D20-結論!C8</f>
        <v/>
      </c>
    </row>
    <row r="21">
      <c r="B21" s="25">
        <f>入力!$C$5+15</f>
        <v/>
      </c>
      <c r="C21" s="26" t="n">
        <v>15</v>
      </c>
      <c r="D21" s="27">
        <f>FV(入力!$C$21/12,15*12,-入力!$C$20,-入力!$C$19)</f>
        <v/>
      </c>
      <c r="E21" s="28">
        <f>D21-結論!C8</f>
        <v/>
      </c>
    </row>
    <row r="22">
      <c r="B22" s="25">
        <f>入力!$C$5+16</f>
        <v/>
      </c>
      <c r="C22" s="26" t="n">
        <v>16</v>
      </c>
      <c r="D22" s="27">
        <f>FV(入力!$C$21/12,16*12,-入力!$C$20,-入力!$C$19)</f>
        <v/>
      </c>
      <c r="E22" s="28">
        <f>D22-結論!C8</f>
        <v/>
      </c>
    </row>
    <row r="23">
      <c r="B23" s="25">
        <f>入力!$C$5+17</f>
        <v/>
      </c>
      <c r="C23" s="26" t="n">
        <v>17</v>
      </c>
      <c r="D23" s="27">
        <f>FV(入力!$C$21/12,17*12,-入力!$C$20,-入力!$C$19)</f>
        <v/>
      </c>
      <c r="E23" s="28">
        <f>D23-結論!C8</f>
        <v/>
      </c>
    </row>
    <row r="24">
      <c r="B24" s="25">
        <f>入力!$C$5+18</f>
        <v/>
      </c>
      <c r="C24" s="26" t="n">
        <v>18</v>
      </c>
      <c r="D24" s="27">
        <f>FV(入力!$C$21/12,18*12,-入力!$C$20,-入力!$C$19)</f>
        <v/>
      </c>
      <c r="E24" s="28">
        <f>D24-結論!C8</f>
        <v/>
      </c>
    </row>
    <row r="25">
      <c r="B25" s="25">
        <f>入力!$C$5+19</f>
        <v/>
      </c>
      <c r="C25" s="26" t="n">
        <v>19</v>
      </c>
      <c r="D25" s="27">
        <f>FV(入力!$C$21/12,19*12,-入力!$C$20,-入力!$C$19)</f>
        <v/>
      </c>
      <c r="E25" s="28">
        <f>D25-結論!C8</f>
        <v/>
      </c>
    </row>
    <row r="26">
      <c r="B26" s="25">
        <f>入力!$C$5+20</f>
        <v/>
      </c>
      <c r="C26" s="26" t="n">
        <v>20</v>
      </c>
      <c r="D26" s="27">
        <f>FV(入力!$C$21/12,20*12,-入力!$C$20,-入力!$C$19)</f>
        <v/>
      </c>
      <c r="E26" s="28">
        <f>D26-結論!C8</f>
        <v/>
      </c>
    </row>
    <row r="27">
      <c r="B27" s="25">
        <f>入力!$C$5+21</f>
        <v/>
      </c>
      <c r="C27" s="26" t="n">
        <v>21</v>
      </c>
      <c r="D27" s="27">
        <f>FV(入力!$C$21/12,21*12,-入力!$C$20,-入力!$C$19)</f>
        <v/>
      </c>
      <c r="E27" s="28">
        <f>D27-結論!C8</f>
        <v/>
      </c>
    </row>
    <row r="28">
      <c r="B28" s="25">
        <f>入力!$C$5+22</f>
        <v/>
      </c>
      <c r="C28" s="26" t="n">
        <v>22</v>
      </c>
      <c r="D28" s="27">
        <f>FV(入力!$C$21/12,22*12,-入力!$C$20,-入力!$C$19)</f>
        <v/>
      </c>
      <c r="E28" s="28">
        <f>D28-結論!C8</f>
        <v/>
      </c>
    </row>
    <row r="29">
      <c r="B29" s="25">
        <f>入力!$C$5+23</f>
        <v/>
      </c>
      <c r="C29" s="26" t="n">
        <v>23</v>
      </c>
      <c r="D29" s="27">
        <f>FV(入力!$C$21/12,23*12,-入力!$C$20,-入力!$C$19)</f>
        <v/>
      </c>
      <c r="E29" s="28">
        <f>D29-結論!C8</f>
        <v/>
      </c>
    </row>
    <row r="30">
      <c r="B30" s="25">
        <f>入力!$C$5+24</f>
        <v/>
      </c>
      <c r="C30" s="26" t="n">
        <v>24</v>
      </c>
      <c r="D30" s="27">
        <f>FV(入力!$C$21/12,24*12,-入力!$C$20,-入力!$C$19)</f>
        <v/>
      </c>
      <c r="E30" s="28">
        <f>D30-結論!C8</f>
        <v/>
      </c>
    </row>
    <row r="31">
      <c r="B31" s="25">
        <f>入力!$C$5+25</f>
        <v/>
      </c>
      <c r="C31" s="26" t="n">
        <v>25</v>
      </c>
      <c r="D31" s="27">
        <f>FV(入力!$C$21/12,25*12,-入力!$C$20,-入力!$C$19)</f>
        <v/>
      </c>
      <c r="E31" s="28">
        <f>D31-結論!C8</f>
        <v/>
      </c>
    </row>
    <row r="32">
      <c r="B32" s="25">
        <f>入力!$C$5+26</f>
        <v/>
      </c>
      <c r="C32" s="26" t="n">
        <v>26</v>
      </c>
      <c r="D32" s="27">
        <f>FV(入力!$C$21/12,26*12,-入力!$C$20,-入力!$C$19)</f>
        <v/>
      </c>
      <c r="E32" s="28">
        <f>D32-結論!C8</f>
        <v/>
      </c>
    </row>
    <row r="33">
      <c r="B33" s="25">
        <f>入力!$C$5+27</f>
        <v/>
      </c>
      <c r="C33" s="26" t="n">
        <v>27</v>
      </c>
      <c r="D33" s="27">
        <f>FV(入力!$C$21/12,27*12,-入力!$C$20,-入力!$C$19)</f>
        <v/>
      </c>
      <c r="E33" s="28">
        <f>D33-結論!C8</f>
        <v/>
      </c>
    </row>
    <row r="34">
      <c r="B34" s="25">
        <f>入力!$C$5+28</f>
        <v/>
      </c>
      <c r="C34" s="26" t="n">
        <v>28</v>
      </c>
      <c r="D34" s="27">
        <f>FV(入力!$C$21/12,28*12,-入力!$C$20,-入力!$C$19)</f>
        <v/>
      </c>
      <c r="E34" s="28">
        <f>D34-結論!C8</f>
        <v/>
      </c>
    </row>
    <row r="35">
      <c r="B35" s="25">
        <f>入力!$C$5+29</f>
        <v/>
      </c>
      <c r="C35" s="26" t="n">
        <v>29</v>
      </c>
      <c r="D35" s="27">
        <f>FV(入力!$C$21/12,29*12,-入力!$C$20,-入力!$C$19)</f>
        <v/>
      </c>
      <c r="E35" s="28">
        <f>D35-結論!C8</f>
        <v/>
      </c>
    </row>
    <row r="36">
      <c r="B36" s="25">
        <f>入力!$C$5+30</f>
        <v/>
      </c>
      <c r="C36" s="26" t="n">
        <v>30</v>
      </c>
      <c r="D36" s="27">
        <f>FV(入力!$C$21/12,30*12,-入力!$C$20,-入力!$C$19)</f>
        <v/>
      </c>
      <c r="E36" s="28">
        <f>D36-結論!C8</f>
        <v/>
      </c>
    </row>
    <row r="37">
      <c r="B37" s="25">
        <f>入力!$C$5+31</f>
        <v/>
      </c>
      <c r="C37" s="26" t="n">
        <v>31</v>
      </c>
      <c r="D37" s="27">
        <f>FV(入力!$C$21/12,31*12,-入力!$C$20,-入力!$C$19)</f>
        <v/>
      </c>
      <c r="E37" s="28">
        <f>D37-結論!C8</f>
        <v/>
      </c>
    </row>
    <row r="38">
      <c r="B38" s="25">
        <f>入力!$C$5+32</f>
        <v/>
      </c>
      <c r="C38" s="26" t="n">
        <v>32</v>
      </c>
      <c r="D38" s="27">
        <f>FV(入力!$C$21/12,32*12,-入力!$C$20,-入力!$C$19)</f>
        <v/>
      </c>
      <c r="E38" s="28">
        <f>D38-結論!C8</f>
        <v/>
      </c>
    </row>
    <row r="39">
      <c r="B39" s="25">
        <f>入力!$C$5+33</f>
        <v/>
      </c>
      <c r="C39" s="26" t="n">
        <v>33</v>
      </c>
      <c r="D39" s="27">
        <f>FV(入力!$C$21/12,33*12,-入力!$C$20,-入力!$C$19)</f>
        <v/>
      </c>
      <c r="E39" s="28">
        <f>D39-結論!C8</f>
        <v/>
      </c>
    </row>
    <row r="40">
      <c r="B40" s="25">
        <f>入力!$C$5+34</f>
        <v/>
      </c>
      <c r="C40" s="26" t="n">
        <v>34</v>
      </c>
      <c r="D40" s="27">
        <f>FV(入力!$C$21/12,34*12,-入力!$C$20,-入力!$C$19)</f>
        <v/>
      </c>
      <c r="E40" s="28">
        <f>D40-結論!C8</f>
        <v/>
      </c>
    </row>
    <row r="41">
      <c r="B41" s="25">
        <f>入力!$C$5+35</f>
        <v/>
      </c>
      <c r="C41" s="26" t="n">
        <v>35</v>
      </c>
      <c r="D41" s="27">
        <f>FV(入力!$C$21/12,35*12,-入力!$C$20,-入力!$C$19)</f>
        <v/>
      </c>
      <c r="E41" s="28">
        <f>D41-結論!C8</f>
        <v/>
      </c>
    </row>
    <row r="42">
      <c r="B42" s="25">
        <f>入力!$C$5+36</f>
        <v/>
      </c>
      <c r="C42" s="26" t="n">
        <v>36</v>
      </c>
      <c r="D42" s="27">
        <f>FV(入力!$C$21/12,36*12,-入力!$C$20,-入力!$C$19)</f>
        <v/>
      </c>
      <c r="E42" s="28">
        <f>D42-結論!C8</f>
        <v/>
      </c>
    </row>
    <row r="43">
      <c r="B43" s="25">
        <f>入力!$C$5+37</f>
        <v/>
      </c>
      <c r="C43" s="26" t="n">
        <v>37</v>
      </c>
      <c r="D43" s="27">
        <f>FV(入力!$C$21/12,37*12,-入力!$C$20,-入力!$C$19)</f>
        <v/>
      </c>
      <c r="E43" s="28">
        <f>D43-結論!C8</f>
        <v/>
      </c>
    </row>
    <row r="44">
      <c r="B44" s="25">
        <f>入力!$C$5+38</f>
        <v/>
      </c>
      <c r="C44" s="26" t="n">
        <v>38</v>
      </c>
      <c r="D44" s="27">
        <f>FV(入力!$C$21/12,38*12,-入力!$C$20,-入力!$C$19)</f>
        <v/>
      </c>
      <c r="E44" s="28">
        <f>D44-結論!C8</f>
        <v/>
      </c>
    </row>
    <row r="45">
      <c r="B45" s="25">
        <f>入力!$C$5+39</f>
        <v/>
      </c>
      <c r="C45" s="26" t="n">
        <v>39</v>
      </c>
      <c r="D45" s="27">
        <f>FV(入力!$C$21/12,39*12,-入力!$C$20,-入力!$C$19)</f>
        <v/>
      </c>
      <c r="E45" s="28">
        <f>D45-結論!C8</f>
        <v/>
      </c>
    </row>
    <row r="46">
      <c r="B46" s="25">
        <f>入力!$C$5+40</f>
        <v/>
      </c>
      <c r="C46" s="26" t="n">
        <v>40</v>
      </c>
      <c r="D46" s="27">
        <f>FV(入力!$C$21/12,40*12,-入力!$C$20,-入力!$C$19)</f>
        <v/>
      </c>
      <c r="E46" s="28">
        <f>D46-結論!C8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1C4E9"/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34" customHeight="1">
      <c r="A1" s="1" t="inlineStr">
        <is>
          <t>🐪</t>
        </is>
      </c>
      <c r="B1" s="2" t="inlineStr">
        <is>
          <t>🔄 FIRE試算｜シナリオ比較</t>
        </is>
      </c>
    </row>
    <row r="2">
      <c r="B2" s="3" t="inlineStr">
        <is>
          <t>月積立/年利を変えて達成資産がどう変わるか</t>
        </is>
      </c>
    </row>
    <row r="4" ht="24" customHeight="1">
      <c r="A4" s="7" t="inlineStr">
        <is>
          <t>5パターン比較（10年後の資産）</t>
        </is>
      </c>
      <c r="B4" s="8" t="n"/>
      <c r="C4" s="8" t="n"/>
      <c r="D4" s="8" t="n"/>
      <c r="E4" s="8" t="n"/>
      <c r="F4" s="8" t="n"/>
    </row>
    <row r="5">
      <c r="A5" s="24" t="inlineStr">
        <is>
          <t>シナリオ</t>
        </is>
      </c>
      <c r="B5" s="24" t="inlineStr">
        <is>
          <t>月積立</t>
        </is>
      </c>
      <c r="C5" s="24" t="inlineStr">
        <is>
          <t>年利</t>
        </is>
      </c>
      <c r="D5" s="24" t="inlineStr">
        <is>
          <t>期間(年)</t>
        </is>
      </c>
      <c r="E5" s="24" t="inlineStr">
        <is>
          <t>予想資産</t>
        </is>
      </c>
      <c r="F5" s="24" t="inlineStr">
        <is>
          <t>備考</t>
        </is>
      </c>
    </row>
    <row r="6">
      <c r="A6" s="29" t="inlineStr">
        <is>
          <t>①現状ペース</t>
        </is>
      </c>
      <c r="B6" s="27">
        <f>入力!$C$20</f>
        <v/>
      </c>
      <c r="C6" s="30">
        <f>入力!$C$21</f>
        <v/>
      </c>
      <c r="D6" s="31" t="n">
        <v>10</v>
      </c>
      <c r="E6" s="32">
        <f>FV(C6/12,D6*12,-B6,-入力!$C$19)</f>
        <v/>
      </c>
      <c r="F6" s="33" t="inlineStr">
        <is>
          <t>あなたの入力値そのまま</t>
        </is>
      </c>
    </row>
    <row r="7">
      <c r="A7" s="29" t="inlineStr">
        <is>
          <t>②積立 +5万</t>
        </is>
      </c>
      <c r="B7" s="27">
        <f>入力!$C$20+50000</f>
        <v/>
      </c>
      <c r="C7" s="30">
        <f>入力!$C$21</f>
        <v/>
      </c>
      <c r="D7" s="31" t="n">
        <v>10</v>
      </c>
      <c r="E7" s="32">
        <f>FV(C7/12,D7*12,-B7,-入力!$C$19)</f>
        <v/>
      </c>
      <c r="F7" s="33" t="inlineStr">
        <is>
          <t>月積立を5万増やす</t>
        </is>
      </c>
    </row>
    <row r="8">
      <c r="A8" s="29" t="inlineStr">
        <is>
          <t>③年利 +1%</t>
        </is>
      </c>
      <c r="B8" s="27">
        <f>入力!$C$20</f>
        <v/>
      </c>
      <c r="C8" s="30">
        <f>入力!$C$21+0.01</f>
        <v/>
      </c>
      <c r="D8" s="31" t="n">
        <v>10</v>
      </c>
      <c r="E8" s="32">
        <f>FV(C8/12,D8*12,-B8,-入力!$C$19)</f>
        <v/>
      </c>
      <c r="F8" s="33" t="inlineStr">
        <is>
          <t>投資配分をやや攻めに</t>
        </is>
      </c>
    </row>
    <row r="9">
      <c r="A9" s="29" t="inlineStr">
        <is>
          <t>④目標年齢 +5年</t>
        </is>
      </c>
      <c r="B9" s="27">
        <f>入力!$C$20</f>
        <v/>
      </c>
      <c r="C9" s="30">
        <f>入力!$C$21</f>
        <v/>
      </c>
      <c r="D9" s="31" t="n">
        <v>15</v>
      </c>
      <c r="E9" s="32">
        <f>FV(C9/12,D9*12,-B9,-入力!$C$19)</f>
        <v/>
      </c>
      <c r="F9" s="33" t="inlineStr">
        <is>
          <t>5年長く働く</t>
        </is>
      </c>
    </row>
    <row r="10">
      <c r="A10" s="29" t="inlineStr">
        <is>
          <t>⑤積立0で運用のみ</t>
        </is>
      </c>
      <c r="B10" s="27" t="n">
        <v>0</v>
      </c>
      <c r="C10" s="30">
        <f>入力!$C$21</f>
        <v/>
      </c>
      <c r="D10" s="31" t="n">
        <v>10</v>
      </c>
      <c r="E10" s="32">
        <f>FV(C10/12,D10*12,-B10,-入力!$C$19)</f>
        <v/>
      </c>
      <c r="F10" s="33" t="inlineStr">
        <is>
          <t>今ある資産だけ運用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8D5A7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A1" t="inlineStr">
        <is>
          <t>🐪</t>
        </is>
      </c>
      <c r="B1" s="34" t="inlineStr">
        <is>
          <t>残業嫌いのらくだ先生</t>
        </is>
      </c>
    </row>
    <row r="2">
      <c r="A2" t="inlineStr"/>
      <c r="B2" s="4" t="inlineStr"/>
    </row>
    <row r="3">
      <c r="A3" t="inlineStr">
        <is>
          <t>■</t>
        </is>
      </c>
      <c r="B3" s="35" t="inlineStr">
        <is>
          <t>プロフィール</t>
        </is>
      </c>
    </row>
    <row r="4">
      <c r="A4" t="inlineStr"/>
      <c r="B4" s="4" t="inlineStr">
        <is>
          <t>公立中学校教員（国語・20代）</t>
        </is>
      </c>
    </row>
    <row r="5">
      <c r="A5" t="inlineStr"/>
      <c r="B5" s="4" t="inlineStr">
        <is>
          <t>ICT・AIで残業ゼロ ｜ 副業10万 ｜ 5年で2000万円貯金</t>
        </is>
      </c>
    </row>
    <row r="6">
      <c r="A6" t="inlineStr"/>
      <c r="B6" s="4" t="inlineStr">
        <is>
          <t>日本株デイトレで-50万やった失敗から、低リスクインデックス投資に振り切り。</t>
        </is>
      </c>
    </row>
    <row r="7">
      <c r="A7" t="inlineStr"/>
      <c r="B7" s="4" t="inlineStr"/>
    </row>
    <row r="8">
      <c r="A8" t="inlineStr">
        <is>
          <t>■</t>
        </is>
      </c>
      <c r="B8" s="35" t="inlineStr">
        <is>
          <t>発信中</t>
        </is>
      </c>
    </row>
    <row r="9">
      <c r="A9" t="inlineStr"/>
      <c r="B9" s="4" t="inlineStr">
        <is>
          <t>X (Twitter): @rakuda_sensei</t>
        </is>
      </c>
    </row>
    <row r="10">
      <c r="A10" t="inlineStr"/>
      <c r="B10" s="4" t="inlineStr">
        <is>
          <t>note: https://note.com/rakuda_sensei</t>
        </is>
      </c>
    </row>
    <row r="11">
      <c r="A11" t="inlineStr"/>
      <c r="B11" s="4" t="inlineStr">
        <is>
          <t>BOOTH: https://rakuda-sensei.booth.pm</t>
        </is>
      </c>
    </row>
    <row r="12">
      <c r="A12" t="inlineStr"/>
      <c r="B12" s="4" t="inlineStr"/>
    </row>
    <row r="13">
      <c r="A13" t="inlineStr">
        <is>
          <t>■</t>
        </is>
      </c>
      <c r="B13" s="35" t="inlineStr">
        <is>
          <t>ご利用について</t>
        </is>
      </c>
    </row>
    <row r="14">
      <c r="A14" t="inlineStr"/>
      <c r="B14" s="4" t="inlineStr">
        <is>
          <t>・本商品の個人利用は自由</t>
        </is>
      </c>
    </row>
    <row r="15">
      <c r="A15" t="inlineStr"/>
      <c r="B15" s="4" t="inlineStr">
        <is>
          <t>・二次配布・転売は禁止</t>
        </is>
      </c>
    </row>
    <row r="16">
      <c r="A16" t="inlineStr"/>
      <c r="B16" s="4" t="inlineStr">
        <is>
          <t>・本商品の数式・テンプレで生じた結果について作者は責任を負いません</t>
        </is>
      </c>
    </row>
    <row r="17">
      <c r="A17" t="inlineStr"/>
      <c r="B17" s="4" t="inlineStr">
        <is>
          <t>・改善要望・不具合報告は X DM までお気軽に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2026-06-02T09:17:17Z</dcterms:created>
  <dcterms:modified xsi:type="dcterms:W3CDTF">2026-06-02T09:17:17Z</dcterms:modified>
</cp:coreProperties>
</file>