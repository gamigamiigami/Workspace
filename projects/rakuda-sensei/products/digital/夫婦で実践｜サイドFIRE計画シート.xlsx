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1" activeTab="1" autoFilterDateGrouping="1"/>
  </bookViews>
  <sheets>
    <sheet name="使い方" sheetId="1" state="visible" r:id="rId1"/>
    <sheet name="初期設定" sheetId="2" state="visible" r:id="rId2"/>
    <sheet name="一人目" sheetId="3" state="visible" r:id="rId3"/>
    <sheet name="二人目" sheetId="4" state="visible" r:id="rId4"/>
    <sheet name="合算" sheetId="5" state="visible" r:id="rId5"/>
    <sheet name="資産収入" sheetId="6" state="visible" r:id="rId6"/>
    <sheet name="収入" sheetId="7" state="visible" r:id="rId7"/>
    <sheet name="年金" sheetId="8" state="visible" r:id="rId8"/>
    <sheet name="生活費" sheetId="9" state="visible" r:id="rId9"/>
    <sheet name="らくだ先生について" sheetId="10" state="visible" r:id="rId10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0_);[Red]\(0\)"/>
  </numFmts>
  <fonts count="11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2"/>
      <color theme="1"/>
      <sz val="11"/>
    </font>
    <font>
      <name val="游ゴシック"/>
      <charset val="128"/>
      <family val="3"/>
      <b val="1"/>
      <color rgb="FF0070C0"/>
      <sz val="11"/>
      <scheme val="minor"/>
    </font>
    <font>
      <name val="游ゴシック"/>
      <charset val="128"/>
      <family val="3"/>
      <b val="1"/>
      <color rgb="FFFF0000"/>
      <sz val="11"/>
      <scheme val="minor"/>
    </font>
    <font>
      <name val="游ゴシック"/>
      <charset val="128"/>
      <family val="2"/>
      <color theme="1"/>
      <sz val="16"/>
      <scheme val="minor"/>
    </font>
    <font>
      <name val="游ゴシック"/>
      <charset val="128"/>
      <family val="3"/>
      <color theme="1"/>
      <sz val="8"/>
      <scheme val="minor"/>
    </font>
    <font>
      <name val="メイリオ"/>
      <b val="1"/>
      <color rgb="003D2F1F"/>
      <sz val="18"/>
    </font>
    <font>
      <name val="メイリオ"/>
      <sz val="11"/>
    </font>
    <font>
      <name val="メイリオ"/>
      <b val="1"/>
      <color rgb="008B6F47"/>
      <sz val="13"/>
    </font>
    <font>
      <name val="メイリオ"/>
      <i val="1"/>
      <color rgb="008B6F47"/>
      <sz val="11"/>
    </font>
  </fonts>
  <fills count="6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45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shrinkToFit="1"/>
    </xf>
    <xf numFmtId="0" fontId="0" fillId="2" borderId="0" applyAlignment="1" pivotButton="0" quotePrefix="0" xfId="0">
      <alignment vertical="center" shrinkToFit="1"/>
    </xf>
    <xf numFmtId="0" fontId="0" fillId="3" borderId="0" applyAlignment="1" pivotButton="0" quotePrefix="0" xfId="0">
      <alignment vertical="center" shrinkToFit="1"/>
    </xf>
    <xf numFmtId="9" fontId="0" fillId="0" borderId="0" applyAlignment="1" pivotButton="0" quotePrefix="0" xfId="0">
      <alignment vertical="center" shrinkToFit="1"/>
    </xf>
    <xf numFmtId="164" fontId="0" fillId="3" borderId="0" applyAlignment="1" pivotButton="0" quotePrefix="0" xfId="0">
      <alignment vertical="center" shrinkToFit="1"/>
    </xf>
    <xf numFmtId="164" fontId="0" fillId="0" borderId="0" applyAlignment="1" pivotButton="0" quotePrefix="0" xfId="0">
      <alignment vertical="center" shrinkToFit="1"/>
    </xf>
    <xf numFmtId="9" fontId="0" fillId="2" borderId="0" applyAlignment="1" pivotButton="0" quotePrefix="0" xfId="0">
      <alignment vertical="center" shrinkToFit="1"/>
    </xf>
    <xf numFmtId="164" fontId="0" fillId="4" borderId="0" applyAlignment="1" pivotButton="0" quotePrefix="0" xfId="0">
      <alignment vertical="center" shrinkToFit="1"/>
    </xf>
    <xf numFmtId="164" fontId="0" fillId="2" borderId="0" applyAlignment="1" pivotButton="0" quotePrefix="0" xfId="0">
      <alignment vertical="center" shrinkToFit="1"/>
    </xf>
    <xf numFmtId="0" fontId="0" fillId="3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5" borderId="0" applyAlignment="1" pivotButton="0" quotePrefix="0" xfId="0">
      <alignment vertical="center" shrinkToFit="1"/>
    </xf>
    <xf numFmtId="9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shrinkToFit="1"/>
    </xf>
    <xf numFmtId="9" fontId="3" fillId="0" borderId="0" applyAlignment="1" pivotButton="0" quotePrefix="0" xfId="0">
      <alignment vertical="center" shrinkToFit="1"/>
    </xf>
    <xf numFmtId="0" fontId="3" fillId="2" borderId="0" applyAlignment="1" pivotButton="0" quotePrefix="0" xfId="0">
      <alignment vertical="center" shrinkToFit="1"/>
    </xf>
    <xf numFmtId="164" fontId="3" fillId="0" borderId="0" applyAlignment="1" pivotButton="0" quotePrefix="0" xfId="0">
      <alignment vertical="center" shrinkToFit="1"/>
    </xf>
    <xf numFmtId="164" fontId="3" fillId="3" borderId="0" applyAlignment="1" pivotButton="0" quotePrefix="0" xfId="0">
      <alignment vertical="center" shrinkToFit="1"/>
    </xf>
    <xf numFmtId="0" fontId="4" fillId="0" borderId="0" applyAlignment="1" pivotButton="0" quotePrefix="0" xfId="0">
      <alignment vertical="center" shrinkToFit="1"/>
    </xf>
    <xf numFmtId="164" fontId="4" fillId="0" borderId="0" applyAlignment="1" pivotButton="0" quotePrefix="0" xfId="0">
      <alignment vertical="center" shrinkToFit="1"/>
    </xf>
    <xf numFmtId="9" fontId="4" fillId="0" borderId="0" applyAlignment="1" pivotButton="0" quotePrefix="0" xfId="0">
      <alignment vertical="center" shrinkToFit="1"/>
    </xf>
    <xf numFmtId="164" fontId="4" fillId="3" borderId="0" applyAlignment="1" pivotButton="0" quotePrefix="0" xfId="0">
      <alignment vertical="center" shrinkToFit="1"/>
    </xf>
    <xf numFmtId="0" fontId="5" fillId="0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0" fillId="2" borderId="0" applyAlignment="1" pivotButton="0" quotePrefix="0" xfId="0">
      <alignment horizontal="center" vertical="center" shrinkToFit="1"/>
    </xf>
    <xf numFmtId="0" fontId="0" fillId="0" borderId="0" applyAlignment="1" pivotButton="0" quotePrefix="0" xfId="0">
      <alignment horizontal="center" vertical="center" shrinkToFit="1"/>
    </xf>
    <xf numFmtId="0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 wrapText="1"/>
    </xf>
    <xf numFmtId="164" fontId="6" fillId="0" borderId="0" applyAlignment="1" pivotButton="0" quotePrefix="0" xfId="0">
      <alignment vertical="center"/>
    </xf>
    <xf numFmtId="164" fontId="0" fillId="4" borderId="0" applyAlignment="1" pivotButton="0" quotePrefix="0" xfId="0">
      <alignment vertical="center" shrinkToFit="1"/>
    </xf>
    <xf numFmtId="164" fontId="0" fillId="0" borderId="0" applyAlignment="1" pivotButton="0" quotePrefix="0" xfId="0">
      <alignment vertical="center" shrinkToFit="1"/>
    </xf>
    <xf numFmtId="164" fontId="0" fillId="3" borderId="0" applyAlignment="1" pivotButton="0" quotePrefix="0" xfId="0">
      <alignment vertical="center" shrinkToFit="1"/>
    </xf>
    <xf numFmtId="164" fontId="4" fillId="0" borderId="0" applyAlignment="1" pivotButton="0" quotePrefix="0" xfId="0">
      <alignment vertical="center" shrinkToFit="1"/>
    </xf>
    <xf numFmtId="164" fontId="4" fillId="3" borderId="0" applyAlignment="1" pivotButton="0" quotePrefix="0" xfId="0">
      <alignment vertical="center" shrinkToFit="1"/>
    </xf>
    <xf numFmtId="164" fontId="0" fillId="2" borderId="0" applyAlignment="1" pivotButton="0" quotePrefix="0" xfId="0">
      <alignment vertical="center" shrinkToFit="1"/>
    </xf>
    <xf numFmtId="164" fontId="3" fillId="0" borderId="0" applyAlignment="1" pivotButton="0" quotePrefix="0" xfId="0">
      <alignment vertical="center" shrinkToFit="1"/>
    </xf>
    <xf numFmtId="164" fontId="3" fillId="3" borderId="0" applyAlignment="1" pivotButton="0" quotePrefix="0" xfId="0">
      <alignment vertical="center" shrinkToFit="1"/>
    </xf>
    <xf numFmtId="0" fontId="7" fillId="0" borderId="0" applyAlignment="1" pivotButton="0" quotePrefix="0" xfId="0">
      <alignment horizontal="left" vertical="top" wrapText="1"/>
    </xf>
  </cellXfs>
  <cellStyles count="1">
    <cellStyle name="標準" xfId="0" builtinId="0"/>
  </cellStyles>
  <dxfs count="2">
    <dxf>
      <numFmt numFmtId="13" formatCode="0%"/>
    </dxf>
    <dxf>
      <numFmt numFmtId="13" formatCode="0%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テーブル2" displayName="テーブル2" ref="B3:I8" headerRowCount="1" totalsRowShown="0">
  <autoFilter ref="B3:I8"/>
  <tableColumns count="8">
    <tableColumn id="1" name="資産額"/>
    <tableColumn id="2" name="年利" dataDxfId="1">
      <calculatedColumnFormula>$C$2</calculatedColumnFormula>
    </tableColumn>
    <tableColumn id="3" name="年利益">
      <calculatedColumnFormula>B4*C4</calculatedColumnFormula>
    </tableColumn>
    <tableColumn id="4" name="月利益">
      <calculatedColumnFormula>D4/12</calculatedColumnFormula>
    </tableColumn>
    <tableColumn id="5" name="/"/>
    <tableColumn id="6" name="年利2" dataDxfId="0">
      <calculatedColumnFormula>$G$2</calculatedColumnFormula>
    </tableColumn>
    <tableColumn id="7" name="年利益3">
      <calculatedColumnFormula>B4*G4</calculatedColumnFormula>
    </tableColumn>
    <tableColumn id="8" name="月利益4">
      <calculatedColumnFormula>H4/12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8B6F47"/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" customWidth="1" style="30" min="1" max="1"/>
    <col width="95" customWidth="1" style="30" min="2" max="2"/>
  </cols>
  <sheetData>
    <row r="1">
      <c r="A1" t="inlineStr">
        <is>
          <t>🐪</t>
        </is>
      </c>
      <c r="B1" s="31" t="inlineStr">
        <is>
          <t>夫婦で実践｜サイドFIRE計画シート</t>
        </is>
      </c>
    </row>
    <row r="3">
      <c r="B3" s="32" t="inlineStr">
        <is>
          <t>夫婦（または2人）で「いつまでに、いくら貯めて、何歳でセミリタイアするか」</t>
        </is>
      </c>
    </row>
    <row r="4">
      <c r="B4" s="32" t="inlineStr">
        <is>
          <t>を年金まで含めて試算する高機能テンプレートです。</t>
        </is>
      </c>
    </row>
    <row r="5">
      <c r="B5" s="32" t="inlineStr"/>
    </row>
    <row r="6">
      <c r="B6" s="33" t="inlineStr">
        <is>
          <t>■ サイドFIRE とは</t>
        </is>
      </c>
    </row>
    <row r="7">
      <c r="B7" s="32" t="inlineStr">
        <is>
          <t>完全な経済的自由（フルFIRE）の前段階。資産収入だけでは生活費を賄えない分を、</t>
        </is>
      </c>
    </row>
    <row r="8">
      <c r="B8" s="32" t="inlineStr">
        <is>
          <t>緩めの労働で補う「バリスタFIRE」とも呼ばれる戦略。</t>
        </is>
      </c>
    </row>
    <row r="9">
      <c r="B9" s="34" t="inlineStr">
        <is>
          <t>→ ぼく自身、保育士の婚約者とこのスタイルを目指してます🐪</t>
        </is>
      </c>
    </row>
    <row r="10">
      <c r="B10" s="32" t="inlineStr"/>
    </row>
    <row r="11">
      <c r="B11" s="33" t="inlineStr">
        <is>
          <t>■ シート構成</t>
        </is>
      </c>
    </row>
    <row r="12">
      <c r="B12" s="32" t="inlineStr">
        <is>
          <t>・初期設定: 現在年齢、設定年、出産予定年などの基本情報</t>
        </is>
      </c>
    </row>
    <row r="13">
      <c r="B13" s="32" t="inlineStr">
        <is>
          <t>・一人目: あなたの月手取り・生活費・貯蓄・初期投資・月積立</t>
        </is>
      </c>
    </row>
    <row r="14">
      <c r="B14" s="32" t="inlineStr">
        <is>
          <t>・二人目: パートナーの同上</t>
        </is>
      </c>
    </row>
    <row r="15">
      <c r="B15" s="32" t="inlineStr">
        <is>
          <t>・合算: 夫婦の運用合計と FIRE 達成年齢の自動計算</t>
        </is>
      </c>
    </row>
    <row r="16">
      <c r="B16" s="32" t="inlineStr">
        <is>
          <t>・資産収入: 資産額別の年利益・月利益試算</t>
        </is>
      </c>
    </row>
    <row r="17">
      <c r="B17" s="32" t="inlineStr">
        <is>
          <t>・収入: 副業・パート時給からの試算</t>
        </is>
      </c>
    </row>
    <row r="18">
      <c r="B18" s="32" t="inlineStr">
        <is>
          <t>・年金: 65歳時 / 繰上げ / 繰下げ受給額の概算</t>
        </is>
      </c>
    </row>
    <row r="19">
      <c r="B19" s="32" t="inlineStr">
        <is>
          <t>・生活費: 項目別の月額（編集して自分の家計に合わせる）</t>
        </is>
      </c>
    </row>
    <row r="20">
      <c r="B20" s="32" t="inlineStr"/>
    </row>
    <row r="21">
      <c r="B21" s="33" t="inlineStr">
        <is>
          <t>■ 使い方（4ステップ）</t>
        </is>
      </c>
    </row>
    <row r="22">
      <c r="B22" s="32" t="inlineStr">
        <is>
          <t>1. 「初期設定」で現在年齢・設定年を入力</t>
        </is>
      </c>
    </row>
    <row r="23">
      <c r="B23" s="32" t="inlineStr">
        <is>
          <t>2. 「一人目」「二人目」で月手取り・月生活費・資産情報を入力</t>
        </is>
      </c>
    </row>
    <row r="24">
      <c r="B24" s="32" t="inlineStr">
        <is>
          <t>3. 「生活費」シートで実際の家計に合わせて項目を更新</t>
        </is>
      </c>
    </row>
    <row r="25">
      <c r="B25" s="32" t="inlineStr">
        <is>
          <t>4. 「合算」シートで FIRE 達成年齢を確認</t>
        </is>
      </c>
    </row>
    <row r="26">
      <c r="B26" s="32" t="inlineStr"/>
    </row>
    <row r="27">
      <c r="B27" s="33" t="inlineStr">
        <is>
          <t>■ 計算ロジック</t>
        </is>
      </c>
    </row>
    <row r="28">
      <c r="B28" s="32" t="inlineStr">
        <is>
          <t>FIRE① 積立有: 月積立を続けながら運用</t>
        </is>
      </c>
    </row>
    <row r="29">
      <c r="B29" s="32" t="inlineStr">
        <is>
          <t>FIRE② 積立0: 積立をストップしてからの運用</t>
        </is>
      </c>
    </row>
    <row r="30">
      <c r="B30" s="32" t="inlineStr">
        <is>
          <t>FIRE③ 取崩し: 月に取崩しを始めてからの寿命</t>
        </is>
      </c>
    </row>
    <row r="31">
      <c r="B31" s="32" t="inlineStr">
        <is>
          <t>FIRE④ 取崩し: 取崩しが何年もつか NPER 関数で算出</t>
        </is>
      </c>
    </row>
    <row r="32">
      <c r="B32" s="32" t="inlineStr"/>
    </row>
    <row r="33">
      <c r="B33" s="33" t="inlineStr">
        <is>
          <t>■ 注意</t>
        </is>
      </c>
    </row>
    <row r="34">
      <c r="B34" s="34" t="inlineStr">
        <is>
          <t>→ 例の数字（月手取り25万・生活費18万など）はサンプルです</t>
        </is>
      </c>
    </row>
    <row r="35">
      <c r="B35" s="34" t="inlineStr">
        <is>
          <t>→ 想定年利は過去実績ベースの参考値。投資は元本割れリスクあり</t>
        </is>
      </c>
    </row>
    <row r="36">
      <c r="B36" s="34" t="inlineStr">
        <is>
          <t>→ 年金額は2026年時点の概算。制度改正で変動します</t>
        </is>
      </c>
    </row>
    <row r="37">
      <c r="B37" s="32" t="inlineStr"/>
    </row>
    <row r="38">
      <c r="B38" s="33" t="inlineStr">
        <is>
          <t>■ 編集のコツ</t>
        </is>
      </c>
    </row>
    <row r="39">
      <c r="B39" s="32" t="inlineStr">
        <is>
          <t>・「セミリタイア」目標を「自分が定時退職を希望する年齢」で入力</t>
        </is>
      </c>
    </row>
    <row r="40">
      <c r="B40" s="32" t="inlineStr">
        <is>
          <t>・「FIRE①」を「夫婦の現状ペースで何歳で2人とも仕事辞められるか」と読む</t>
        </is>
      </c>
    </row>
    <row r="41">
      <c r="B41" s="32" t="inlineStr">
        <is>
          <t>・「資産収入」シートで目標資産額（5000万・1億）に必要な配当を確認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"/>
  <sheetViews>
    <sheetView workbookViewId="0">
      <selection activeCell="A1" sqref="A1"/>
    </sheetView>
  </sheetViews>
  <sheetFormatPr baseColWidth="8" defaultColWidth="9" defaultRowHeight="25.5"/>
  <cols>
    <col width="9" customWidth="1" style="23" min="1" max="1"/>
    <col width="18.25" bestFit="1" customWidth="1" style="23" min="2" max="2"/>
    <col width="15.125" customWidth="1" style="23" min="3" max="3"/>
    <col width="9" customWidth="1" style="23" min="4" max="5"/>
    <col width="14.625" bestFit="1" customWidth="1" style="23" min="6" max="6"/>
    <col width="9" customWidth="1" style="23" min="7" max="16384"/>
  </cols>
  <sheetData>
    <row r="2">
      <c r="B2" s="23" t="inlineStr">
        <is>
          <t>現在</t>
        </is>
      </c>
      <c r="C2" s="24">
        <f>TODAY()</f>
        <v/>
      </c>
    </row>
    <row r="4">
      <c r="B4" s="25" t="inlineStr">
        <is>
          <t>設定初期年齢</t>
        </is>
      </c>
      <c r="C4" s="25" t="n">
        <v>27</v>
      </c>
      <c r="D4" s="23" t="inlineStr">
        <is>
          <t>歳</t>
        </is>
      </c>
      <c r="F4" s="26" t="inlineStr">
        <is>
          <t>計算用(現在-設定年)</t>
        </is>
      </c>
    </row>
    <row r="5">
      <c r="B5" s="25" t="inlineStr">
        <is>
          <t>設定年</t>
        </is>
      </c>
      <c r="C5" s="25" t="n">
        <v>2026</v>
      </c>
      <c r="D5" s="23" t="inlineStr">
        <is>
          <t>年</t>
        </is>
      </c>
      <c r="F5" s="35">
        <f>YEAR(C2)-YEAR(DATE(C5,1,1))</f>
        <v/>
      </c>
    </row>
    <row r="6">
      <c r="B6" s="25" t="inlineStr">
        <is>
          <t>出産予定年</t>
        </is>
      </c>
      <c r="C6" s="25" t="n">
        <v>2029</v>
      </c>
      <c r="D6" s="23" t="inlineStr">
        <is>
          <t>年</t>
        </is>
      </c>
      <c r="F6" s="35">
        <f>YEAR(DATE(C6,1,1))-YEAR(C2)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N12"/>
  <sheetViews>
    <sheetView tabSelected="1" workbookViewId="0">
      <selection activeCell="B12" sqref="B12:C12"/>
    </sheetView>
  </sheetViews>
  <sheetFormatPr baseColWidth="8" defaultColWidth="9" defaultRowHeight="18.75"/>
  <cols>
    <col width="9" customWidth="1" style="1" min="1" max="1"/>
    <col width="8.625" customWidth="1" style="1" min="2" max="2"/>
    <col width="16.25" bestFit="1" customWidth="1" style="1" min="3" max="3"/>
    <col width="9" customWidth="1" style="1" min="4" max="11"/>
    <col width="10.625" bestFit="1" customWidth="1" style="1" min="12" max="12"/>
    <col width="3.5" customWidth="1" style="1" min="13" max="13"/>
    <col width="12.25" customWidth="1" style="1" min="14" max="14"/>
    <col width="9" customWidth="1" style="1" min="15" max="16384"/>
  </cols>
  <sheetData>
    <row r="1">
      <c r="H1" s="1" t="inlineStr">
        <is>
          <t>資産(貯金)</t>
        </is>
      </c>
    </row>
    <row r="2">
      <c r="B2" s="1" t="inlineStr">
        <is>
          <t>月手取り</t>
        </is>
      </c>
      <c r="C2" s="1" t="inlineStr">
        <is>
          <t>ボーナス2月x2回</t>
        </is>
      </c>
      <c r="D2" s="1" t="inlineStr">
        <is>
          <t>年手取り</t>
        </is>
      </c>
      <c r="H2" s="1" t="inlineStr">
        <is>
          <t>現在</t>
        </is>
      </c>
      <c r="I2" s="1" t="inlineStr">
        <is>
          <t>貯蓄</t>
        </is>
      </c>
      <c r="J2" s="1" t="inlineStr">
        <is>
          <t>合計</t>
        </is>
      </c>
    </row>
    <row r="3">
      <c r="B3" s="2" t="n">
        <v>25</v>
      </c>
      <c r="C3" s="1">
        <f>$B3*4</f>
        <v/>
      </c>
      <c r="D3" s="3">
        <f>$B3*12+$C3</f>
        <v/>
      </c>
      <c r="H3" s="2" t="n">
        <v>1500</v>
      </c>
      <c r="I3" s="1">
        <f>$E12</f>
        <v/>
      </c>
      <c r="J3" s="3">
        <f>$H3+$E12</f>
        <v/>
      </c>
    </row>
    <row r="6">
      <c r="B6" s="1" t="inlineStr">
        <is>
          <t>月生活費</t>
        </is>
      </c>
      <c r="C6" s="1" t="inlineStr">
        <is>
          <t>月貯蓄</t>
        </is>
      </c>
      <c r="D6" s="1" t="inlineStr">
        <is>
          <t>年貯蓄</t>
        </is>
      </c>
      <c r="H6" s="1" t="inlineStr">
        <is>
          <t>資産(運用)</t>
        </is>
      </c>
    </row>
    <row r="7">
      <c r="B7" s="2" t="n">
        <v>18</v>
      </c>
      <c r="C7" s="1">
        <f>IF(B7="","",$B3-$B7)</f>
        <v/>
      </c>
      <c r="D7" s="3">
        <f>IFERROR($C7*12+$C3,"")</f>
        <v/>
      </c>
      <c r="H7" s="1" t="inlineStr">
        <is>
          <t>初期投資</t>
        </is>
      </c>
      <c r="I7" s="1" t="inlineStr">
        <is>
          <t>月積立(賞与)</t>
        </is>
      </c>
      <c r="J7" s="1" t="inlineStr">
        <is>
          <t>年利</t>
        </is>
      </c>
      <c r="K7" s="1" t="inlineStr">
        <is>
          <t>期間</t>
        </is>
      </c>
      <c r="L7" s="1" t="inlineStr">
        <is>
          <t>合計</t>
        </is>
      </c>
    </row>
    <row r="8">
      <c r="H8" s="1">
        <f>$H$3</f>
        <v/>
      </c>
      <c r="I8" s="1">
        <f>ROUNDDOWN($C7+$C$3/12,0)</f>
        <v/>
      </c>
      <c r="J8" s="7" t="n">
        <v>0.05</v>
      </c>
      <c r="K8" s="1">
        <f>$B$12</f>
        <v/>
      </c>
      <c r="L8" s="36">
        <f>FV($J8/12,$K8*12,-$I8,-$H8)</f>
        <v/>
      </c>
      <c r="M8" s="37" t="n"/>
      <c r="N8" s="1" t="inlineStr">
        <is>
          <t>余裕資金ALL</t>
        </is>
      </c>
    </row>
    <row r="9">
      <c r="H9" s="1">
        <f>$H$3</f>
        <v/>
      </c>
      <c r="I9" s="2" t="n">
        <v>10</v>
      </c>
      <c r="J9" s="4">
        <f>J$8</f>
        <v/>
      </c>
      <c r="K9" s="1">
        <f>$B$12</f>
        <v/>
      </c>
      <c r="L9" s="38">
        <f>FV($J9/12,$K9*12,-$I9,-$H9)</f>
        <v/>
      </c>
      <c r="N9" s="1" t="inlineStr">
        <is>
          <t>自由設定</t>
        </is>
      </c>
    </row>
    <row r="11">
      <c r="B11" s="29" t="inlineStr">
        <is>
          <t>リタイアまで（年）</t>
        </is>
      </c>
      <c r="D11" s="1" t="inlineStr">
        <is>
          <t>稼ぎ</t>
        </is>
      </c>
      <c r="E11" s="1" t="inlineStr">
        <is>
          <t>貯蓄</t>
        </is>
      </c>
    </row>
    <row r="12">
      <c r="B12" s="28" t="n">
        <v>3</v>
      </c>
      <c r="D12" s="1">
        <f>$D$3*$B12</f>
        <v/>
      </c>
      <c r="E12" s="3">
        <f>$D7*$B12</f>
        <v/>
      </c>
    </row>
  </sheetData>
  <mergeCells count="2">
    <mergeCell ref="B11:C11"/>
    <mergeCell ref="B12:C12"/>
  </mergeCell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N12"/>
  <sheetViews>
    <sheetView workbookViewId="0">
      <selection activeCell="A1" sqref="A1"/>
    </sheetView>
  </sheetViews>
  <sheetFormatPr baseColWidth="8" defaultColWidth="9" defaultRowHeight="18.75"/>
  <cols>
    <col width="9" customWidth="1" style="1" min="1" max="1"/>
    <col width="8.625" customWidth="1" style="1" min="2" max="2"/>
    <col width="16.25" bestFit="1" customWidth="1" style="1" min="3" max="3"/>
    <col width="9" customWidth="1" style="1" min="4" max="11"/>
    <col width="10.625" bestFit="1" customWidth="1" style="1" min="12" max="12"/>
    <col width="3.5" customWidth="1" style="1" min="13" max="13"/>
    <col width="12.25" customWidth="1" style="1" min="14" max="14"/>
    <col width="9" customWidth="1" style="1" min="15" max="16384"/>
  </cols>
  <sheetData>
    <row r="1">
      <c r="H1" s="1" t="inlineStr">
        <is>
          <t>資産(貯金)</t>
        </is>
      </c>
    </row>
    <row r="2">
      <c r="B2" s="1" t="inlineStr">
        <is>
          <t>月手取り</t>
        </is>
      </c>
      <c r="C2" s="1" t="inlineStr">
        <is>
          <t>ボーナス2月x2回</t>
        </is>
      </c>
      <c r="D2" s="1" t="inlineStr">
        <is>
          <t>年手取り</t>
        </is>
      </c>
      <c r="H2" s="1" t="inlineStr">
        <is>
          <t>現在</t>
        </is>
      </c>
      <c r="I2" s="1" t="inlineStr">
        <is>
          <t>貯蓄</t>
        </is>
      </c>
      <c r="J2" s="1" t="inlineStr">
        <is>
          <t>合計</t>
        </is>
      </c>
    </row>
    <row r="3">
      <c r="B3" s="2" t="n">
        <v>0</v>
      </c>
      <c r="C3" s="1">
        <f>$B3*4</f>
        <v/>
      </c>
      <c r="D3" s="3">
        <f>$B3*12+$C3</f>
        <v/>
      </c>
      <c r="H3" s="2" t="n">
        <v>0</v>
      </c>
      <c r="I3" s="1">
        <f>$E12</f>
        <v/>
      </c>
      <c r="J3" s="3">
        <f>$H3+$E12</f>
        <v/>
      </c>
    </row>
    <row r="6">
      <c r="B6" s="1" t="inlineStr">
        <is>
          <t>月生活費</t>
        </is>
      </c>
      <c r="C6" s="1" t="inlineStr">
        <is>
          <t>月貯蓄</t>
        </is>
      </c>
      <c r="D6" s="1" t="inlineStr">
        <is>
          <t>年貯蓄</t>
        </is>
      </c>
      <c r="H6" s="1" t="inlineStr">
        <is>
          <t>資産(運用)</t>
        </is>
      </c>
    </row>
    <row r="7">
      <c r="B7" s="2" t="n">
        <v>0</v>
      </c>
      <c r="C7" s="1">
        <f>IF(B7="","",$B3-$B7)</f>
        <v/>
      </c>
      <c r="D7" s="3">
        <f>IFERROR($C7*12+$C3,"")</f>
        <v/>
      </c>
      <c r="H7" s="1" t="inlineStr">
        <is>
          <t>初期投資</t>
        </is>
      </c>
      <c r="I7" s="1" t="inlineStr">
        <is>
          <t>月積立(賞与)</t>
        </is>
      </c>
      <c r="J7" s="1" t="inlineStr">
        <is>
          <t>年利</t>
        </is>
      </c>
      <c r="K7" s="1" t="inlineStr">
        <is>
          <t>期間</t>
        </is>
      </c>
      <c r="L7" s="1" t="inlineStr">
        <is>
          <t>合計</t>
        </is>
      </c>
    </row>
    <row r="8">
      <c r="H8" s="1">
        <f>$H$3</f>
        <v/>
      </c>
      <c r="I8" s="1">
        <f>ROUNDDOWN($C7+$C$3/12,0)</f>
        <v/>
      </c>
      <c r="J8" s="7" t="n">
        <v>0.04</v>
      </c>
      <c r="K8" s="1">
        <f>$B$12</f>
        <v/>
      </c>
      <c r="L8" s="36">
        <f>FV($J8/12,$K8*12,-$I8,-$H8)</f>
        <v/>
      </c>
      <c r="M8" s="37" t="n"/>
      <c r="N8" s="1" t="inlineStr">
        <is>
          <t>余裕資金ALL</t>
        </is>
      </c>
    </row>
    <row r="9">
      <c r="H9" s="1">
        <f>$H$3</f>
        <v/>
      </c>
      <c r="I9" s="2" t="n">
        <v>10</v>
      </c>
      <c r="J9" s="4">
        <f>J$8</f>
        <v/>
      </c>
      <c r="K9" s="1">
        <f>$B$12</f>
        <v/>
      </c>
      <c r="L9" s="38">
        <f>FV($J9/12,$K9*12,-$I9,-$H9)</f>
        <v/>
      </c>
      <c r="N9" s="1" t="inlineStr">
        <is>
          <t>自由設定</t>
        </is>
      </c>
    </row>
    <row r="11">
      <c r="B11" s="29" t="inlineStr">
        <is>
          <t>リタイアまで（年）</t>
        </is>
      </c>
      <c r="D11" s="1" t="inlineStr">
        <is>
          <t>稼ぎ</t>
        </is>
      </c>
      <c r="E11" s="1" t="inlineStr">
        <is>
          <t>貯蓄</t>
        </is>
      </c>
    </row>
    <row r="12">
      <c r="B12" s="28">
        <f>一人目!B12</f>
        <v/>
      </c>
      <c r="D12" s="1">
        <f>$D$3*$B12</f>
        <v/>
      </c>
      <c r="E12" s="3">
        <f>$D7*$B12</f>
        <v/>
      </c>
    </row>
  </sheetData>
  <mergeCells count="2">
    <mergeCell ref="B11:C11"/>
    <mergeCell ref="B12:C12"/>
  </mergeCells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15"/>
  <sheetViews>
    <sheetView workbookViewId="0">
      <selection activeCell="A1" sqref="A1"/>
    </sheetView>
  </sheetViews>
  <sheetFormatPr baseColWidth="8" defaultColWidth="9" defaultRowHeight="18.75"/>
  <cols>
    <col width="9" customWidth="1" style="1" min="1" max="5"/>
    <col width="12.375" bestFit="1" customWidth="1" style="1" min="6" max="6"/>
    <col width="9" customWidth="1" style="1" min="7" max="9"/>
    <col width="9.375" bestFit="1" customWidth="1" style="37" min="10" max="10"/>
    <col width="9" customWidth="1" style="37" min="11" max="11"/>
    <col width="4.125" customWidth="1" style="1" min="12" max="12"/>
    <col width="10.875" customWidth="1" style="1" min="13" max="14"/>
    <col width="9" customWidth="1" style="1" min="15" max="16384"/>
  </cols>
  <sheetData>
    <row r="1" ht="13.5" customHeight="1" s="30"/>
    <row r="2">
      <c r="G2" s="1" t="inlineStr">
        <is>
          <t>月積立</t>
        </is>
      </c>
      <c r="H2" s="1" t="inlineStr">
        <is>
          <t>年利</t>
        </is>
      </c>
      <c r="I2" s="1" t="inlineStr">
        <is>
          <t>期間</t>
        </is>
      </c>
      <c r="J2" s="37" t="inlineStr">
        <is>
          <t>運用</t>
        </is>
      </c>
      <c r="K2" s="37" t="inlineStr">
        <is>
          <t>総資産</t>
        </is>
      </c>
    </row>
    <row r="3">
      <c r="B3" s="1" t="inlineStr">
        <is>
          <t>運用A</t>
        </is>
      </c>
      <c r="C3" s="1" t="inlineStr">
        <is>
          <t>運用B</t>
        </is>
      </c>
      <c r="D3" s="1" t="inlineStr">
        <is>
          <t>運用合計</t>
        </is>
      </c>
      <c r="F3" s="19" t="inlineStr">
        <is>
          <t>セミリタイア</t>
        </is>
      </c>
      <c r="G3" s="39">
        <f>一人目!I8+二人目!I8</f>
        <v/>
      </c>
      <c r="H3" s="21">
        <f>AVERAGE(一人目!J8,二人目!J8)</f>
        <v/>
      </c>
      <c r="I3" s="19">
        <f>一人目!K8</f>
        <v/>
      </c>
      <c r="J3" s="39">
        <f>D4</f>
        <v/>
      </c>
      <c r="K3" s="40">
        <f>$D6+$J3</f>
        <v/>
      </c>
      <c r="M3" s="1" t="inlineStr">
        <is>
          <t>セミリタイアまで</t>
        </is>
      </c>
    </row>
    <row r="4">
      <c r="B4" s="41">
        <f>一人目!L8</f>
        <v/>
      </c>
      <c r="C4" s="41" t="n">
        <v>300</v>
      </c>
      <c r="D4" s="38">
        <f>ROUNDDOWN(B4+C4,0)</f>
        <v/>
      </c>
      <c r="F4" s="1" t="inlineStr">
        <is>
          <t>FIRE①積立有</t>
        </is>
      </c>
      <c r="G4" s="41" t="n">
        <v>25</v>
      </c>
      <c r="H4" s="7" t="n">
        <v>0.05</v>
      </c>
      <c r="I4" s="2" t="n">
        <v>5</v>
      </c>
      <c r="J4" s="37">
        <f>FV($H4/12,$I4*12,-$G4,-$D$4)</f>
        <v/>
      </c>
      <c r="K4" s="38">
        <f>$D6+$J4</f>
        <v/>
      </c>
      <c r="M4" s="1" t="inlineStr">
        <is>
          <t>積立余裕期</t>
        </is>
      </c>
      <c r="N4" s="1" t="inlineStr">
        <is>
          <t>(生活費＜収入)</t>
        </is>
      </c>
    </row>
    <row r="5">
      <c r="B5" s="1" t="inlineStr">
        <is>
          <t>預金A</t>
        </is>
      </c>
      <c r="C5" s="1" t="inlineStr">
        <is>
          <t>預金B</t>
        </is>
      </c>
      <c r="D5" s="1" t="inlineStr">
        <is>
          <t>預金合計</t>
        </is>
      </c>
      <c r="F5" s="14" t="inlineStr">
        <is>
          <t>FIRE②積立0</t>
        </is>
      </c>
      <c r="G5" s="14" t="n">
        <v>0</v>
      </c>
      <c r="H5" s="15">
        <f>H$4</f>
        <v/>
      </c>
      <c r="I5" s="16" t="n">
        <v>5</v>
      </c>
      <c r="J5" s="42">
        <f>FV($H5/12,$I5*12,-$G5,-$J$4)</f>
        <v/>
      </c>
      <c r="K5" s="43">
        <f>$D6+$J5</f>
        <v/>
      </c>
      <c r="M5" s="1" t="inlineStr">
        <is>
          <t>仕事セーブ期</t>
        </is>
      </c>
      <c r="N5" s="1" t="inlineStr">
        <is>
          <t>(生活費＝収入)</t>
        </is>
      </c>
    </row>
    <row r="6">
      <c r="B6" s="41" t="n"/>
      <c r="C6" s="41" t="n"/>
      <c r="D6" s="38">
        <f>B6+C6</f>
        <v/>
      </c>
      <c r="F6" s="12" t="inlineStr">
        <is>
          <t>FIRE③取崩し</t>
        </is>
      </c>
      <c r="G6" s="1" t="n">
        <v>10</v>
      </c>
      <c r="H6" s="4" t="n">
        <v>0.04</v>
      </c>
      <c r="I6" s="2" t="n">
        <v>20</v>
      </c>
      <c r="J6" s="37">
        <f>FV(H6/12,I6*12,G6,-J5,0)</f>
        <v/>
      </c>
      <c r="K6" s="38">
        <f>$D6+$J6</f>
        <v/>
      </c>
      <c r="M6" s="1" t="inlineStr">
        <is>
          <t>取崩し期</t>
        </is>
      </c>
      <c r="N6" s="1" t="inlineStr">
        <is>
          <t>(生活費＞収入)</t>
        </is>
      </c>
    </row>
    <row r="7">
      <c r="F7" s="12" t="inlineStr">
        <is>
          <t>FIRE④取崩し</t>
        </is>
      </c>
      <c r="G7" s="2" t="n">
        <v>30</v>
      </c>
      <c r="H7" s="4" t="n">
        <v>0.03</v>
      </c>
      <c r="J7" s="38">
        <f>NPER(H7/12,-G7,J6)/12</f>
        <v/>
      </c>
      <c r="K7" s="37" t="inlineStr">
        <is>
          <t>年</t>
        </is>
      </c>
      <c r="M7" s="1" t="inlineStr">
        <is>
          <t>取崩し期</t>
        </is>
      </c>
      <c r="N7" s="1" t="inlineStr">
        <is>
          <t>(生活費＞収入)</t>
        </is>
      </c>
    </row>
    <row r="8">
      <c r="J8" s="1" t="n"/>
      <c r="K8" s="1" t="n"/>
    </row>
    <row r="9">
      <c r="J9" s="1" t="n"/>
      <c r="K9" s="1" t="n"/>
    </row>
    <row r="10" ht="5.25" customHeight="1" s="30">
      <c r="J10" s="1" t="n"/>
      <c r="K10" s="1" t="n"/>
    </row>
    <row r="11">
      <c r="F11" s="1" t="inlineStr">
        <is>
          <t>年齢</t>
        </is>
      </c>
      <c r="G11" s="19" t="inlineStr">
        <is>
          <t>セミリタイア</t>
        </is>
      </c>
      <c r="H11" s="1" t="inlineStr">
        <is>
          <t>FIRE①</t>
        </is>
      </c>
      <c r="I11" s="42" t="inlineStr">
        <is>
          <t>FIRE②</t>
        </is>
      </c>
      <c r="J11" s="37" t="inlineStr">
        <is>
          <t>FIRE③</t>
        </is>
      </c>
      <c r="K11" s="1" t="inlineStr">
        <is>
          <t>FIRE④</t>
        </is>
      </c>
    </row>
    <row r="12">
      <c r="E12" s="1" t="inlineStr">
        <is>
          <t>年齢</t>
        </is>
      </c>
      <c r="F12" s="1">
        <f>初期設定!C4</f>
        <v/>
      </c>
      <c r="G12" s="19">
        <f>F12+一人目!$B$12</f>
        <v/>
      </c>
      <c r="H12" s="37">
        <f>G12+I4</f>
        <v/>
      </c>
      <c r="I12" s="42">
        <f>H12+I5</f>
        <v/>
      </c>
      <c r="J12" s="37">
        <f>I12+I6</f>
        <v/>
      </c>
      <c r="K12" s="38">
        <f>ROUNDDOWN(J12+J7,0)</f>
        <v/>
      </c>
    </row>
    <row r="13">
      <c r="E13" s="1" t="inlineStr">
        <is>
          <t>総資産</t>
        </is>
      </c>
      <c r="F13" s="1">
        <f>一人目!H3+二人目!H3</f>
        <v/>
      </c>
      <c r="G13" s="19">
        <f>D4+D6</f>
        <v/>
      </c>
      <c r="H13" s="38">
        <f>K4</f>
        <v/>
      </c>
      <c r="I13" s="43">
        <f>K5</f>
        <v/>
      </c>
      <c r="J13" s="38">
        <f>K6</f>
        <v/>
      </c>
      <c r="K13" s="37">
        <f>D6</f>
        <v/>
      </c>
    </row>
    <row r="14">
      <c r="E14" s="1" t="inlineStr">
        <is>
          <t>現在から</t>
        </is>
      </c>
      <c r="G14" s="1">
        <f>G12-$F$12-初期設定!$F$5&amp;"年後"</f>
        <v/>
      </c>
      <c r="H14" s="1">
        <f>H12-$F$12-初期設定!$F$5&amp;"年後"</f>
        <v/>
      </c>
      <c r="I14" s="1">
        <f>I12-$F$12-初期設定!$F$5&amp;"年後"</f>
        <v/>
      </c>
      <c r="J14" s="1">
        <f>J12-$F$12-初期設定!$F$5&amp;"年後"</f>
        <v/>
      </c>
      <c r="K14" s="1">
        <f>K12-$F$12-初期設定!$F$5&amp;"年後"</f>
        <v/>
      </c>
    </row>
    <row r="15">
      <c r="E15" s="1" t="inlineStr">
        <is>
          <t>一人目</t>
        </is>
      </c>
      <c r="G15" s="37">
        <f>IF((G12-$F$12)-初期設定!$F$6&lt;0,"",(G12-$F$12)-初期設定!$F$6&amp;"歳")</f>
        <v/>
      </c>
      <c r="H15" s="37">
        <f>IF((H12-$F$12)-初期設定!$F$6&lt;0,"",(H12-$F$12)-初期設定!$F$6&amp;"歳")</f>
        <v/>
      </c>
      <c r="I15" s="37">
        <f>IF((I12-$F$12)-初期設定!$F$6&lt;0,"",(I12-$F$12)-初期設定!$F$6&amp;"歳")</f>
        <v/>
      </c>
      <c r="J15" s="37">
        <f>IF((J12-$F$12)-初期設定!$F$6&lt;0,"",(J12-$F$12)-初期設定!$F$6&amp;"歳")</f>
        <v/>
      </c>
      <c r="K15" s="37">
        <f>IF((K12-$F$12)-初期設定!$F$6&lt;0,"",(K12-$F$12)-初期設定!$F$6&amp;"歳")</f>
        <v/>
      </c>
    </row>
  </sheetData>
  <pageMargins left="0.7" right="0.7" top="0.75" bottom="0.75" header="0.3" footer="0.3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I10"/>
  <sheetViews>
    <sheetView workbookViewId="0">
      <selection activeCell="A1" sqref="A1"/>
    </sheetView>
  </sheetViews>
  <sheetFormatPr baseColWidth="8" defaultRowHeight="18.75"/>
  <cols>
    <col width="3.5" customWidth="1" style="30" min="6" max="6"/>
    <col width="9.5" bestFit="1" customWidth="1" style="30" min="11" max="11"/>
    <col width="9.5" bestFit="1" customWidth="1" style="30" min="13" max="14"/>
    <col width="10.625" bestFit="1" customWidth="1" style="30" min="17" max="18"/>
  </cols>
  <sheetData>
    <row r="2">
      <c r="C2" s="13" t="n">
        <v>0.03</v>
      </c>
      <c r="G2" s="13" t="n">
        <v>0.04</v>
      </c>
    </row>
    <row r="3">
      <c r="B3" s="0" t="inlineStr">
        <is>
          <t>資産額</t>
        </is>
      </c>
      <c r="C3" s="0" t="inlineStr">
        <is>
          <t>年利</t>
        </is>
      </c>
      <c r="D3" s="0" t="inlineStr">
        <is>
          <t>年利益</t>
        </is>
      </c>
      <c r="E3" s="0" t="inlineStr">
        <is>
          <t>月利益</t>
        </is>
      </c>
      <c r="F3" s="0" t="inlineStr">
        <is>
          <t>/</t>
        </is>
      </c>
      <c r="G3" s="0" t="inlineStr">
        <is>
          <t>年利2</t>
        </is>
      </c>
      <c r="H3" s="0" t="inlineStr">
        <is>
          <t>年利益3</t>
        </is>
      </c>
      <c r="I3" s="0" t="inlineStr">
        <is>
          <t>月利益4</t>
        </is>
      </c>
    </row>
    <row r="4">
      <c r="B4" s="0" t="n">
        <v>3000</v>
      </c>
      <c r="C4" s="13">
        <f>$C$2</f>
        <v/>
      </c>
      <c r="D4" s="0">
        <f>B4*C4</f>
        <v/>
      </c>
      <c r="E4" s="0">
        <f>D4/12</f>
        <v/>
      </c>
      <c r="G4" s="13">
        <f>$G$2</f>
        <v/>
      </c>
      <c r="H4" s="0">
        <f>B4*G4</f>
        <v/>
      </c>
      <c r="I4" s="0">
        <f>H4/12</f>
        <v/>
      </c>
    </row>
    <row r="5">
      <c r="B5" s="0" t="n">
        <v>5000</v>
      </c>
      <c r="C5" s="13">
        <f>$C$2</f>
        <v/>
      </c>
      <c r="D5" s="0">
        <f>B5*C5</f>
        <v/>
      </c>
      <c r="E5" s="0">
        <f>D5/12</f>
        <v/>
      </c>
      <c r="G5" s="13">
        <f>$G$2</f>
        <v/>
      </c>
      <c r="H5" s="0">
        <f>B5*G5</f>
        <v/>
      </c>
      <c r="I5" s="0">
        <f>H5/12</f>
        <v/>
      </c>
    </row>
    <row r="6">
      <c r="B6" s="0" t="n">
        <v>7000</v>
      </c>
      <c r="C6" s="13">
        <f>$C$2</f>
        <v/>
      </c>
      <c r="D6" s="0">
        <f>B6*C6</f>
        <v/>
      </c>
      <c r="E6" s="0">
        <f>D6/12</f>
        <v/>
      </c>
      <c r="G6" s="13">
        <f>$G$2</f>
        <v/>
      </c>
      <c r="H6" s="0">
        <f>B6*G6</f>
        <v/>
      </c>
      <c r="I6" s="0">
        <f>H6/12</f>
        <v/>
      </c>
    </row>
    <row r="7">
      <c r="B7" s="0" t="n">
        <v>8000</v>
      </c>
      <c r="C7" s="13">
        <f>$C$2</f>
        <v/>
      </c>
      <c r="D7" s="0">
        <f>B7*C7</f>
        <v/>
      </c>
      <c r="E7" s="0">
        <f>D7/12</f>
        <v/>
      </c>
      <c r="G7" s="13">
        <f>$G$2</f>
        <v/>
      </c>
      <c r="H7" s="0">
        <f>B7*G7</f>
        <v/>
      </c>
      <c r="I7" s="0">
        <f>H7/12</f>
        <v/>
      </c>
    </row>
    <row r="8">
      <c r="B8" s="0" t="n">
        <v>10000</v>
      </c>
      <c r="C8" s="13">
        <f>$C$2</f>
        <v/>
      </c>
      <c r="D8" s="0">
        <f>B8*C8</f>
        <v/>
      </c>
      <c r="E8" s="0">
        <f>D8/12</f>
        <v/>
      </c>
      <c r="G8" s="13">
        <f>$G$2</f>
        <v/>
      </c>
      <c r="H8" s="0">
        <f>B8*G8</f>
        <v/>
      </c>
      <c r="I8" s="0">
        <f>H8/12</f>
        <v/>
      </c>
    </row>
    <row r="9">
      <c r="C9" s="13" t="n"/>
      <c r="G9" s="13" t="n"/>
    </row>
    <row r="10">
      <c r="C10" s="13" t="n"/>
      <c r="G10" s="1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7"/>
  <sheetViews>
    <sheetView workbookViewId="0">
      <selection activeCell="A1" sqref="A1"/>
    </sheetView>
  </sheetViews>
  <sheetFormatPr baseColWidth="8" defaultRowHeight="18.75"/>
  <sheetData>
    <row r="2">
      <c r="C2" s="0" t="inlineStr">
        <is>
          <t>一人目</t>
        </is>
      </c>
      <c r="D2" s="0" t="inlineStr">
        <is>
          <t>二人目</t>
        </is>
      </c>
      <c r="F2" s="0" t="inlineStr">
        <is>
          <t>合計</t>
        </is>
      </c>
    </row>
    <row r="3">
      <c r="B3" s="0" t="inlineStr">
        <is>
          <t>月収手取り</t>
        </is>
      </c>
      <c r="C3" s="0" t="n">
        <v>120000</v>
      </c>
      <c r="F3" s="0">
        <f>C3+C7+D3+D7</f>
        <v/>
      </c>
    </row>
    <row r="5">
      <c r="B5" s="0" t="inlineStr">
        <is>
          <t>時給</t>
        </is>
      </c>
      <c r="C5" s="0" t="n">
        <v>1100</v>
      </c>
      <c r="D5" s="0" t="n">
        <v>1100</v>
      </c>
    </row>
    <row r="6">
      <c r="B6" s="0" t="inlineStr">
        <is>
          <t>時間/週</t>
        </is>
      </c>
      <c r="C6" s="0" t="n">
        <v>14</v>
      </c>
      <c r="D6" s="0" t="n">
        <v>20</v>
      </c>
    </row>
    <row r="7">
      <c r="A7" s="0" t="n">
        <v>4</v>
      </c>
      <c r="B7" s="0" t="inlineStr">
        <is>
          <t>月手取り</t>
        </is>
      </c>
      <c r="C7" s="0">
        <f>C5*C6*$A$7</f>
        <v/>
      </c>
      <c r="D7" s="0">
        <f>D5*D6*$A$7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G7"/>
  <sheetViews>
    <sheetView workbookViewId="0">
      <selection activeCell="A1" sqref="A1"/>
    </sheetView>
  </sheetViews>
  <sheetFormatPr baseColWidth="8" defaultRowHeight="18.75"/>
  <cols>
    <col width="19.25" bestFit="1" customWidth="1" style="30" min="1" max="1"/>
  </cols>
  <sheetData>
    <row r="2">
      <c r="A2" s="0" t="inlineStr">
        <is>
          <t>仕事開始年齢</t>
        </is>
      </c>
      <c r="B2" s="11" t="n">
        <v>22</v>
      </c>
      <c r="E2" s="0" t="inlineStr">
        <is>
          <t>国民年金</t>
        </is>
      </c>
      <c r="F2" s="0" t="inlineStr">
        <is>
          <t>厚生年金</t>
        </is>
      </c>
      <c r="G2" s="0" t="inlineStr">
        <is>
          <t>合計</t>
        </is>
      </c>
    </row>
    <row r="3">
      <c r="A3" s="0" t="inlineStr">
        <is>
          <t>退職年齢</t>
        </is>
      </c>
      <c r="B3" s="11" t="n">
        <v>30</v>
      </c>
      <c r="D3" s="0" t="inlineStr">
        <is>
          <t>65歳時点</t>
        </is>
      </c>
      <c r="E3" s="0">
        <f>816000/12*($B6/40)</f>
        <v/>
      </c>
      <c r="F3" s="0">
        <f>ROUNDDOWN(($B7*5.481/1000*($B6*12))/12,0)</f>
        <v/>
      </c>
      <c r="G3" s="10">
        <f>F3+E3</f>
        <v/>
      </c>
    </row>
    <row r="4">
      <c r="A4" s="0" t="inlineStr">
        <is>
          <t>繰上げ受給年齢</t>
        </is>
      </c>
      <c r="B4" s="11" t="n">
        <v>60</v>
      </c>
      <c r="D4" s="0">
        <f>$B4&amp;"歳時点"</f>
        <v/>
      </c>
      <c r="E4" s="0">
        <f>ROUNDDOWN((1-(65-$B4)*12*0.004)*E$3,0)</f>
        <v/>
      </c>
      <c r="F4" s="0">
        <f>ROUNDDOWN((1-(65-$B4)*12*0.004)*F$3,0)</f>
        <v/>
      </c>
      <c r="G4" s="10">
        <f>F4+E4</f>
        <v/>
      </c>
    </row>
    <row r="5">
      <c r="A5" s="0" t="inlineStr">
        <is>
          <t>繰下げ受給年齢</t>
        </is>
      </c>
      <c r="B5" s="11" t="n">
        <v>70</v>
      </c>
      <c r="D5" s="0">
        <f>$B5&amp;"歳時点"</f>
        <v/>
      </c>
      <c r="E5" s="0">
        <f>ROUNDDOWN((1+($B5-65)*12*0.007)*E$3,0)</f>
        <v/>
      </c>
      <c r="F5" s="0">
        <f>ROUNDDOWN((1+($B5-65)*12*0.007)*F$3,0)</f>
        <v/>
      </c>
      <c r="G5" s="10">
        <f>F5+E5</f>
        <v/>
      </c>
    </row>
    <row r="6">
      <c r="A6" s="0" t="inlineStr">
        <is>
          <t>厚生年金加入年数</t>
        </is>
      </c>
      <c r="B6" s="0">
        <f>B3-B2</f>
        <v/>
      </c>
    </row>
    <row r="7">
      <c r="A7" s="0" t="inlineStr">
        <is>
          <t>平均標準報酬月額</t>
        </is>
      </c>
      <c r="B7" s="11" t="n">
        <v>250000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13"/>
  <sheetViews>
    <sheetView workbookViewId="0">
      <selection activeCell="A1" sqref="A1"/>
    </sheetView>
  </sheetViews>
  <sheetFormatPr baseColWidth="8" defaultRowHeight="18.75"/>
  <cols>
    <col width="13" bestFit="1" customWidth="1" style="30" min="2" max="2"/>
    <col width="9" customWidth="1" style="30" min="3" max="3"/>
    <col width="3.125" customWidth="1" style="30" min="4" max="4"/>
  </cols>
  <sheetData>
    <row r="2">
      <c r="B2" s="0" t="inlineStr">
        <is>
          <t>項目</t>
        </is>
      </c>
      <c r="C2" s="0" t="inlineStr">
        <is>
          <t>月額（円）</t>
        </is>
      </c>
      <c r="E2" s="0" t="inlineStr">
        <is>
          <t>備考</t>
        </is>
      </c>
    </row>
    <row r="3">
      <c r="B3" s="0" t="inlineStr">
        <is>
          <t>住居費</t>
        </is>
      </c>
      <c r="C3" s="0" t="n">
        <v>90000</v>
      </c>
      <c r="E3" s="0" t="inlineStr">
        <is>
          <t>家賃・住宅ローン・管理費</t>
        </is>
      </c>
    </row>
    <row r="4">
      <c r="B4" s="0" t="inlineStr">
        <is>
          <t>食費</t>
        </is>
      </c>
      <c r="C4" s="0" t="n">
        <v>80000</v>
      </c>
      <c r="E4" s="0" t="inlineStr">
        <is>
          <t>自炊中心＋外食少し</t>
        </is>
      </c>
    </row>
    <row r="5">
      <c r="B5" s="0" t="inlineStr">
        <is>
          <t>水道光熱費</t>
        </is>
      </c>
      <c r="C5" s="0" t="n">
        <v>22000</v>
      </c>
      <c r="E5" s="0" t="inlineStr">
        <is>
          <t>電気・ガス・水道</t>
        </is>
      </c>
    </row>
    <row r="6">
      <c r="B6" s="0" t="inlineStr">
        <is>
          <t>通信費</t>
        </is>
      </c>
      <c r="C6" s="0" t="n">
        <v>18000</v>
      </c>
      <c r="E6" s="0" t="inlineStr">
        <is>
          <t>スマホ2台＋ネット</t>
        </is>
      </c>
    </row>
    <row r="7">
      <c r="B7" s="0" t="inlineStr">
        <is>
          <t>日用品</t>
        </is>
      </c>
      <c r="C7" s="0" t="n">
        <v>12000</v>
      </c>
      <c r="E7" s="0" t="inlineStr">
        <is>
          <t>消耗品・雑貨</t>
        </is>
      </c>
    </row>
    <row r="8">
      <c r="B8" s="0" t="inlineStr">
        <is>
          <t>交通費</t>
        </is>
      </c>
      <c r="C8" s="0" t="n">
        <v>20000</v>
      </c>
      <c r="E8" s="0" t="inlineStr">
        <is>
          <t>車・公共交通</t>
        </is>
      </c>
    </row>
    <row r="9">
      <c r="B9" s="0" t="inlineStr">
        <is>
          <t>教育費</t>
        </is>
      </c>
      <c r="C9" s="0" t="n">
        <v>30000</v>
      </c>
      <c r="E9" s="0" t="inlineStr">
        <is>
          <t>公立想定・習い事含む</t>
        </is>
      </c>
    </row>
    <row r="10">
      <c r="B10" s="0" t="inlineStr">
        <is>
          <t>医療・保険</t>
        </is>
      </c>
      <c r="C10" s="0" t="n">
        <v>15000</v>
      </c>
      <c r="E10" s="0" t="inlineStr">
        <is>
          <t>医療費＋保険</t>
        </is>
      </c>
    </row>
    <row r="11">
      <c r="B11" s="0" t="inlineStr">
        <is>
          <t>娯楽・交際費</t>
        </is>
      </c>
      <c r="C11" s="0" t="n">
        <v>25000</v>
      </c>
      <c r="E11" s="0" t="inlineStr">
        <is>
          <t>レジャー・外食</t>
        </is>
      </c>
    </row>
    <row r="12">
      <c r="B12" s="0" t="inlineStr">
        <is>
          <t>社会保険料</t>
        </is>
      </c>
      <c r="C12" s="0" t="n">
        <v>40000</v>
      </c>
    </row>
    <row r="13">
      <c r="B13" s="10" t="inlineStr">
        <is>
          <t>合計</t>
        </is>
      </c>
      <c r="C13" s="10">
        <f>SUM(C3:C12)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00E8D5A7"/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" customWidth="1" style="30" min="1" max="1"/>
    <col width="95" customWidth="1" style="30" min="2" max="2"/>
  </cols>
  <sheetData>
    <row r="1">
      <c r="A1" t="inlineStr">
        <is>
          <t>🐪</t>
        </is>
      </c>
      <c r="B1" s="44" t="inlineStr">
        <is>
          <t>残業嫌いのらくだ先生</t>
        </is>
      </c>
    </row>
    <row r="2">
      <c r="A2" t="inlineStr"/>
      <c r="B2" s="32" t="inlineStr"/>
    </row>
    <row r="3">
      <c r="A3" t="inlineStr">
        <is>
          <t>■</t>
        </is>
      </c>
      <c r="B3" s="33" t="inlineStr">
        <is>
          <t>プロフィール</t>
        </is>
      </c>
    </row>
    <row r="4">
      <c r="A4" t="inlineStr"/>
      <c r="B4" s="32" t="inlineStr">
        <is>
          <t>公立中学校教員（国語・20代）</t>
        </is>
      </c>
    </row>
    <row r="5">
      <c r="A5" t="inlineStr"/>
      <c r="B5" s="32" t="inlineStr">
        <is>
          <t>ICT・AIで残業ゼロ ｜ 副業10万 ｜ 5年で2000万円貯金</t>
        </is>
      </c>
    </row>
    <row r="6">
      <c r="A6" t="inlineStr"/>
      <c r="B6" s="32" t="inlineStr">
        <is>
          <t>日本株デイトレで-50万やった失敗から、低リスクインデックス投資に振り切り。</t>
        </is>
      </c>
    </row>
    <row r="7">
      <c r="A7" t="inlineStr"/>
      <c r="B7" s="32" t="inlineStr"/>
    </row>
    <row r="8">
      <c r="A8" t="inlineStr">
        <is>
          <t>■</t>
        </is>
      </c>
      <c r="B8" s="33" t="inlineStr">
        <is>
          <t>発信中</t>
        </is>
      </c>
    </row>
    <row r="9">
      <c r="A9" t="inlineStr"/>
      <c r="B9" s="32" t="inlineStr">
        <is>
          <t>X (Twitter): @rakuda_sensei</t>
        </is>
      </c>
    </row>
    <row r="10">
      <c r="A10" t="inlineStr"/>
      <c r="B10" s="32" t="inlineStr">
        <is>
          <t>note: https://note.com/rakuda_sensei</t>
        </is>
      </c>
    </row>
    <row r="11">
      <c r="A11" t="inlineStr"/>
      <c r="B11" s="32" t="inlineStr">
        <is>
          <t>BOOTH: https://rakuda-sensei.booth.pm</t>
        </is>
      </c>
    </row>
    <row r="12">
      <c r="A12" t="inlineStr"/>
      <c r="B12" s="32" t="inlineStr"/>
    </row>
    <row r="13">
      <c r="A13" t="inlineStr">
        <is>
          <t>■</t>
        </is>
      </c>
      <c r="B13" s="33" t="inlineStr">
        <is>
          <t>ご利用について</t>
        </is>
      </c>
    </row>
    <row r="14">
      <c r="A14" t="inlineStr"/>
      <c r="B14" s="32" t="inlineStr">
        <is>
          <t>・本商品の個人利用・校内利用は自由</t>
        </is>
      </c>
    </row>
    <row r="15">
      <c r="A15" t="inlineStr"/>
      <c r="B15" s="32" t="inlineStr">
        <is>
          <t>・二次配布・転売は禁止</t>
        </is>
      </c>
    </row>
    <row r="16">
      <c r="A16" t="inlineStr"/>
      <c r="B16" s="32" t="inlineStr">
        <is>
          <t>・本商品の数式・テンプレで生じた結果について作者は責任を負いません</t>
        </is>
      </c>
    </row>
    <row r="17">
      <c r="A17" t="inlineStr"/>
      <c r="B17" s="32" t="inlineStr">
        <is>
          <t>・改善要望や不具合報告は X DM までお気軽に！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伊神　孟</dc:creator>
  <dcterms:created xsi:type="dcterms:W3CDTF">2026-01-08T04:45:42Z</dcterms:created>
  <dcterms:modified xsi:type="dcterms:W3CDTF">2026-06-02T04:10:00Z</dcterms:modified>
  <cp:lastModifiedBy>伊神　孟</cp:lastModifiedBy>
</cp:coreProperties>
</file>