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初期設定" sheetId="2" state="visible" r:id="rId2"/>
    <sheet name="自分" sheetId="3" state="visible" r:id="rId3"/>
    <sheet name="パートナー" sheetId="4" state="visible" r:id="rId4"/>
    <sheet name="合算" sheetId="5" state="visible" r:id="rId5"/>
    <sheet name="資産収入" sheetId="6" state="visible" r:id="rId6"/>
    <sheet name="生活費" sheetId="7" state="visible" r:id="rId7"/>
    <sheet name="らくだ先生について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歳&quot;"/>
    <numFmt numFmtId="165" formatCode="0&quot;年&quot;"/>
    <numFmt numFmtId="166" formatCode="#,##0&quot;円&quot;"/>
    <numFmt numFmtId="167" formatCode="0.0%"/>
    <numFmt numFmtId="168" formatCode="0.0&quot;年&quot;"/>
  </numFmts>
  <fonts count="9">
    <font>
      <name val="Calibri"/>
      <family val="2"/>
      <color theme="1"/>
      <sz val="11"/>
      <scheme val="minor"/>
    </font>
    <font>
      <name val="メイリオ"/>
      <color rgb="003D2F1F"/>
      <sz val="24"/>
    </font>
    <font>
      <name val="メイリオ"/>
      <b val="1"/>
      <color rgb="003D2F1F"/>
      <sz val="18"/>
    </font>
    <font>
      <name val="メイリオ"/>
      <i val="1"/>
      <color rgb="00666666"/>
      <sz val="10"/>
    </font>
    <font>
      <name val="メイリオ"/>
      <color rgb="003D2F1F"/>
      <sz val="11"/>
    </font>
    <font>
      <name val="メイリオ"/>
      <b val="1"/>
      <color rgb="008B6F47"/>
      <sz val="13"/>
    </font>
    <font>
      <name val="メイリオ"/>
      <b val="1"/>
      <color rgb="003D2F1F"/>
      <sz val="11"/>
    </font>
    <font>
      <name val="メイリオ"/>
      <b val="1"/>
      <color rgb="003D2F1F"/>
      <sz val="13"/>
    </font>
    <font>
      <name val="メイリオ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E8D5A7"/>
        <bgColor rgb="00E8D5A7"/>
      </patternFill>
    </fill>
    <fill>
      <patternFill patternType="solid">
        <fgColor rgb="00FDF6E3"/>
        <bgColor rgb="00FDF6E3"/>
      </patternFill>
    </fill>
    <fill>
      <patternFill patternType="solid">
        <fgColor rgb="00F0F0F0"/>
        <bgColor rgb="00F0F0F0"/>
      </patternFill>
    </fill>
    <fill>
      <patternFill patternType="solid">
        <fgColor rgb="00C8E6C9"/>
        <bgColor rgb="00C8E6C9"/>
      </patternFill>
    </fill>
    <fill>
      <patternFill patternType="solid">
        <fgColor rgb="008B6F47"/>
        <bgColor rgb="008B6F47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8B6F47"/>
      </left>
      <right style="medium">
        <color rgb="008B6F47"/>
      </right>
      <top style="medium">
        <color rgb="008B6F47"/>
      </top>
      <bottom style="medium">
        <color rgb="008B6F4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pivotButton="0" quotePrefix="0" xfId="0"/>
    <xf numFmtId="0" fontId="0" fillId="2" borderId="1" pivotButton="0" quotePrefix="0" xfId="0"/>
    <xf numFmtId="0" fontId="6" fillId="0" borderId="1" applyAlignment="1" pivotButton="0" quotePrefix="0" xfId="0">
      <alignment horizontal="left" vertical="center" wrapText="1"/>
    </xf>
    <xf numFmtId="164" fontId="6" fillId="3" borderId="2" applyAlignment="1" pivotButton="0" quotePrefix="0" xfId="0">
      <alignment horizontal="right" vertical="center"/>
    </xf>
    <xf numFmtId="165" fontId="6" fillId="3" borderId="2" applyAlignment="1" pivotButton="0" quotePrefix="0" xfId="0">
      <alignment horizontal="right" vertical="center"/>
    </xf>
    <xf numFmtId="166" fontId="6" fillId="3" borderId="2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167" fontId="6" fillId="3" borderId="2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166" fontId="7" fillId="5" borderId="2" applyAlignment="1" pivotButton="0" quotePrefix="0" xfId="0">
      <alignment horizontal="right" vertical="center"/>
    </xf>
    <xf numFmtId="167" fontId="4" fillId="4" borderId="1" applyAlignment="1" pivotButton="0" quotePrefix="0" xfId="0">
      <alignment horizontal="right" vertical="center"/>
    </xf>
    <xf numFmtId="0" fontId="8" fillId="6" borderId="0" pivotButton="0" quotePrefix="0" xfId="0"/>
    <xf numFmtId="3" fontId="6" fillId="3" borderId="2" applyAlignment="1" pivotButton="0" quotePrefix="0" xfId="0">
      <alignment horizontal="right" vertical="center"/>
    </xf>
    <xf numFmtId="1" fontId="6" fillId="3" borderId="2" applyAlignment="1" pivotButton="0" quotePrefix="0" xfId="0">
      <alignment horizontal="right" vertical="center"/>
    </xf>
    <xf numFmtId="168" fontId="7" fillId="5" borderId="2" applyAlignment="1" pivotButton="0" quotePrefix="0" xfId="0">
      <alignment horizontal="right" vertical="center"/>
    </xf>
    <xf numFmtId="0" fontId="8" fillId="6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6F47"/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4" customWidth="1" min="1" max="1"/>
    <col width="95" customWidth="1" min="2" max="2"/>
  </cols>
  <sheetData>
    <row r="1" ht="32" customHeight="1">
      <c r="A1" s="1" t="inlineStr">
        <is>
          <t>🐪</t>
        </is>
      </c>
      <c r="B1" s="2" t="inlineStr">
        <is>
          <t>夫婦で実践｜サイドFIRE計画シート</t>
        </is>
      </c>
    </row>
    <row r="2">
      <c r="B2" s="3" t="inlineStr">
        <is>
          <t>夫婦（または2人）で「いつ・いくらでセミリタイア」を試算</t>
        </is>
      </c>
    </row>
    <row r="3">
      <c r="B3" s="4" t="inlineStr"/>
    </row>
    <row r="4">
      <c r="B4" s="5" t="inlineStr">
        <is>
          <t>■ サイドFIREとは</t>
        </is>
      </c>
    </row>
    <row r="5">
      <c r="B5" s="4" t="inlineStr">
        <is>
          <t>資産収入だけでは生活費を全部賄えない分を、緩めの労働で補う戦略。</t>
        </is>
      </c>
    </row>
    <row r="6">
      <c r="B6" s="4" t="inlineStr">
        <is>
          <t>完全FIRE より早く・現実的に到達できる。バリスタFIREとも呼ばれる。</t>
        </is>
      </c>
    </row>
    <row r="7">
      <c r="B7" s="4" t="inlineStr"/>
    </row>
    <row r="8">
      <c r="B8" s="5" t="inlineStr">
        <is>
          <t>■ シート構成</t>
        </is>
      </c>
    </row>
    <row r="9">
      <c r="B9" s="4" t="inlineStr">
        <is>
          <t>・初期設定: 現在年齢・設定年・ライフイベント</t>
        </is>
      </c>
    </row>
    <row r="10">
      <c r="B10" s="4" t="inlineStr">
        <is>
          <t>・自分(一人目): あなたの月手取り・生活費・現在資産・投資設定</t>
        </is>
      </c>
    </row>
    <row r="11">
      <c r="B11" s="4" t="inlineStr">
        <is>
          <t>・パートナー(二人目): もう一人の同上</t>
        </is>
      </c>
    </row>
    <row r="12">
      <c r="B12" s="4" t="inlineStr">
        <is>
          <t>・合算: 夫婦の合計と「いつFIREできるか」の年齢別シミュレーション</t>
        </is>
      </c>
    </row>
    <row r="13">
      <c r="B13" s="4" t="inlineStr">
        <is>
          <t>・資産収入: 資産額別の年利・月利の利益試算</t>
        </is>
      </c>
    </row>
    <row r="14">
      <c r="B14" s="4" t="inlineStr">
        <is>
          <t>・生活費: 月の生活費内訳（家計簿）</t>
        </is>
      </c>
    </row>
    <row r="15">
      <c r="B15" s="4" t="inlineStr"/>
    </row>
    <row r="16">
      <c r="B16" s="5" t="inlineStr">
        <is>
          <t>■ 使い方（4ステップ）</t>
        </is>
      </c>
    </row>
    <row r="17">
      <c r="B17" s="4" t="inlineStr">
        <is>
          <t>1. 「初期設定」で現在年齢・設定年を入力</t>
        </is>
      </c>
    </row>
    <row r="18">
      <c r="B18" s="4" t="inlineStr">
        <is>
          <t>2. 「自分」「パートナー」で月手取り・月生活費・現在資産を入力</t>
        </is>
      </c>
    </row>
    <row r="19">
      <c r="B19" s="4" t="inlineStr">
        <is>
          <t>3. 投資設定（年利・初期投資・月積立）を入力</t>
        </is>
      </c>
    </row>
    <row r="20">
      <c r="B20" s="4" t="inlineStr">
        <is>
          <t>4. 「合算」で何歳でFIRE達成できるか確認</t>
        </is>
      </c>
    </row>
    <row r="21">
      <c r="B21" s="4" t="inlineStr"/>
    </row>
    <row r="22">
      <c r="B22" s="5" t="inlineStr">
        <is>
          <t>■ 4つのFIRE試算ロジック</t>
        </is>
      </c>
    </row>
    <row r="23">
      <c r="B23" s="4" t="inlineStr">
        <is>
          <t>・FIRE① 積立有 : 月積立を続けた場合の○年後の資産</t>
        </is>
      </c>
    </row>
    <row r="24">
      <c r="B24" s="4" t="inlineStr">
        <is>
          <t>・FIRE② 積立0 : 積立をストップしてからの○年後の資産（運用のみ）</t>
        </is>
      </c>
    </row>
    <row r="25">
      <c r="B25" s="4" t="inlineStr">
        <is>
          <t>・FIRE③ 取崩し: 月◯円取崩しを始めて○年後に残る資産</t>
        </is>
      </c>
    </row>
    <row r="26">
      <c r="B26" s="4" t="inlineStr">
        <is>
          <t>・FIRE④ 寿命  : 資産が尽きるまで何年もつか（NPER関数）</t>
        </is>
      </c>
    </row>
    <row r="27">
      <c r="B27" s="4" t="inlineStr"/>
    </row>
    <row r="28">
      <c r="B28" s="5" t="inlineStr">
        <is>
          <t>■ 注意</t>
        </is>
      </c>
    </row>
    <row r="29">
      <c r="B29" s="6" t="inlineStr">
        <is>
          <t>→ 入った数字はサンプルです。自分の状況に書き換えてください</t>
        </is>
      </c>
    </row>
    <row r="30">
      <c r="B30" s="6" t="inlineStr">
        <is>
          <t>→ 想定年利は過去実績ベースの参考値、投資は元本割れリスクあり</t>
        </is>
      </c>
    </row>
    <row r="31">
      <c r="B31" s="6" t="inlineStr">
        <is>
          <t>→ 年金額は2026年時点の概算、制度改正で変動します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8D5A7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6" customWidth="1" min="3" max="3"/>
    <col width="50" customWidth="1" min="4" max="4"/>
  </cols>
  <sheetData>
    <row r="1" ht="32" customHeight="1">
      <c r="A1" s="1" t="inlineStr">
        <is>
          <t>🐪</t>
        </is>
      </c>
      <c r="B1" s="2" t="inlineStr">
        <is>
          <t>初期設定</t>
        </is>
      </c>
    </row>
    <row r="4" ht="24" customHeight="1">
      <c r="A4" s="7" t="inlineStr">
        <is>
          <t>あなたの基本情報（🟡黄色セル）</t>
        </is>
      </c>
      <c r="B4" s="8" t="n"/>
      <c r="C4" s="8" t="n"/>
      <c r="D4" s="8" t="n"/>
    </row>
    <row r="5">
      <c r="A5" s="9" t="inlineStr">
        <is>
          <t>現在年齢</t>
        </is>
      </c>
      <c r="B5" s="10" t="n">
        <v>27</v>
      </c>
      <c r="C5" s="3" t="inlineStr">
        <is>
          <t>(あなたの年齢)</t>
        </is>
      </c>
    </row>
    <row r="6">
      <c r="A6" s="9" t="inlineStr">
        <is>
          <t>設定年</t>
        </is>
      </c>
      <c r="B6" s="11" t="n">
        <v>2026</v>
      </c>
      <c r="C6" s="3" t="inlineStr">
        <is>
          <t>(計算の起点となる年)</t>
        </is>
      </c>
    </row>
    <row r="8" ht="24" customHeight="1">
      <c r="A8" s="7" t="inlineStr">
        <is>
          <t>ライフイベント（任意）</t>
        </is>
      </c>
      <c r="B8" s="8" t="n"/>
      <c r="C8" s="8" t="n"/>
      <c r="D8" s="8" t="n"/>
    </row>
    <row r="9">
      <c r="A9" s="9" t="inlineStr">
        <is>
          <t>出産予定年</t>
        </is>
      </c>
      <c r="B9" s="11" t="n">
        <v>2029</v>
      </c>
    </row>
    <row r="10">
      <c r="A10" s="9" t="inlineStr">
        <is>
          <t>住宅購入予定年</t>
        </is>
      </c>
      <c r="B10" s="11" t="inlineStr"/>
    </row>
    <row r="11">
      <c r="A11" s="9" t="inlineStr">
        <is>
          <t>子供独立予定年</t>
        </is>
      </c>
      <c r="B11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8E6C9"/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6" customWidth="1" min="3" max="3"/>
    <col width="42" customWidth="1" min="4" max="4"/>
  </cols>
  <sheetData>
    <row r="1" ht="32" customHeight="1">
      <c r="A1" s="1" t="inlineStr">
        <is>
          <t>🐪</t>
        </is>
      </c>
      <c r="B1" s="2" t="inlineStr">
        <is>
          <t>自分</t>
        </is>
      </c>
    </row>
    <row r="4" ht="24" customHeight="1">
      <c r="A4" s="7" t="inlineStr">
        <is>
          <t>① 収入（月単位）</t>
        </is>
      </c>
      <c r="B4" s="8" t="n"/>
      <c r="C4" s="8" t="n"/>
      <c r="D4" s="8" t="n"/>
    </row>
    <row r="5">
      <c r="A5" s="9" t="inlineStr">
        <is>
          <t>月手取り給料</t>
        </is>
      </c>
      <c r="B5" s="12" t="n">
        <v>250000</v>
      </c>
    </row>
    <row r="6">
      <c r="A6" s="9" t="inlineStr">
        <is>
          <t>ボーナス（年合計手取り）</t>
        </is>
      </c>
      <c r="B6" s="12" t="n">
        <v>1000000</v>
      </c>
    </row>
    <row r="7">
      <c r="A7" s="9" t="inlineStr">
        <is>
          <t>🔢 年手取り（自動）</t>
        </is>
      </c>
      <c r="B7" s="13">
        <f>B5*12+B6</f>
        <v/>
      </c>
    </row>
    <row r="9" ht="24" customHeight="1">
      <c r="A9" s="7" t="inlineStr">
        <is>
          <t>② 月の生活費</t>
        </is>
      </c>
      <c r="B9" s="8" t="n"/>
      <c r="C9" s="8" t="n"/>
      <c r="D9" s="8" t="n"/>
    </row>
    <row r="10">
      <c r="A10" s="9" t="inlineStr">
        <is>
          <t>月生活費合計</t>
        </is>
      </c>
      <c r="B10" s="12" t="n">
        <v>100000</v>
      </c>
    </row>
    <row r="11">
      <c r="A11" s="9" t="inlineStr">
        <is>
          <t>🔢 月貯蓄</t>
        </is>
      </c>
      <c r="B11" s="13">
        <f>B5-B10</f>
        <v/>
      </c>
    </row>
    <row r="12">
      <c r="A12" s="9" t="inlineStr">
        <is>
          <t>🔢 年貯蓄（ボーナス込）</t>
        </is>
      </c>
      <c r="B12" s="13">
        <f>B11*12+B6</f>
        <v/>
      </c>
    </row>
    <row r="14" ht="24" customHeight="1">
      <c r="A14" s="7" t="inlineStr">
        <is>
          <t>③ 現在の資産</t>
        </is>
      </c>
      <c r="B14" s="8" t="n"/>
      <c r="C14" s="8" t="n"/>
      <c r="D14" s="8" t="n"/>
    </row>
    <row r="15">
      <c r="A15" s="9" t="inlineStr">
        <is>
          <t>現在の貯金額</t>
        </is>
      </c>
      <c r="B15" s="12" t="n">
        <v>1500000</v>
      </c>
    </row>
    <row r="16">
      <c r="A16" s="9" t="inlineStr">
        <is>
          <t>セミリタイアまでの年数</t>
        </is>
      </c>
      <c r="B16" s="11" t="n">
        <v>10</v>
      </c>
    </row>
    <row r="17">
      <c r="A17" s="9" t="inlineStr">
        <is>
          <t>🔢 セミリタイア時点の貯金</t>
        </is>
      </c>
      <c r="B17" s="13">
        <f>B15+B12*B16</f>
        <v/>
      </c>
    </row>
    <row r="19" ht="24" customHeight="1">
      <c r="A19" s="7" t="inlineStr">
        <is>
          <t>④ 投資（運用）設定</t>
        </is>
      </c>
      <c r="B19" s="8" t="n"/>
      <c r="C19" s="8" t="n"/>
      <c r="D19" s="8" t="n"/>
    </row>
    <row r="20">
      <c r="A20" s="9" t="inlineStr">
        <is>
          <t>初期投資元本</t>
        </is>
      </c>
      <c r="B20" s="12" t="n">
        <v>1500000</v>
      </c>
    </row>
    <row r="21">
      <c r="A21" s="9" t="inlineStr">
        <is>
          <t>月積立額</t>
        </is>
      </c>
      <c r="B21" s="12" t="n">
        <v>50000</v>
      </c>
    </row>
    <row r="22">
      <c r="A22" s="9" t="inlineStr">
        <is>
          <t>想定年利</t>
        </is>
      </c>
      <c r="B22" s="14" t="n">
        <v>0.05</v>
      </c>
    </row>
    <row r="23">
      <c r="A23" s="9" t="inlineStr">
        <is>
          <t>運用期間</t>
        </is>
      </c>
      <c r="B23" s="15">
        <f>B16</f>
        <v/>
      </c>
    </row>
    <row r="24">
      <c r="A24" s="9" t="inlineStr">
        <is>
          <t>🔢 セミリタイア時点の運用資産</t>
        </is>
      </c>
      <c r="B24" s="16">
        <f>FV(B22/12,B23*12,-B21,-B20)</f>
        <v/>
      </c>
    </row>
    <row r="25">
      <c r="A25" s="9" t="inlineStr">
        <is>
          <t>🔢 総資産（貯金＋運用）</t>
        </is>
      </c>
      <c r="B25" s="16">
        <f>B17+B24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BDEFB"/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6" customWidth="1" min="3" max="3"/>
    <col width="42" customWidth="1" min="4" max="4"/>
  </cols>
  <sheetData>
    <row r="1" ht="32" customHeight="1">
      <c r="A1" s="1" t="inlineStr">
        <is>
          <t>🐪</t>
        </is>
      </c>
      <c r="B1" s="2" t="inlineStr">
        <is>
          <t>パートナー</t>
        </is>
      </c>
    </row>
    <row r="4" ht="24" customHeight="1">
      <c r="A4" s="7" t="inlineStr">
        <is>
          <t>① 収入（月単位）</t>
        </is>
      </c>
      <c r="B4" s="8" t="n"/>
      <c r="C4" s="8" t="n"/>
      <c r="D4" s="8" t="n"/>
    </row>
    <row r="5">
      <c r="A5" s="9" t="inlineStr">
        <is>
          <t>月手取り給料</t>
        </is>
      </c>
      <c r="B5" s="12" t="n">
        <v>200000</v>
      </c>
    </row>
    <row r="6">
      <c r="A6" s="9" t="inlineStr">
        <is>
          <t>ボーナス（年合計手取り）</t>
        </is>
      </c>
      <c r="B6" s="12" t="n">
        <v>600000</v>
      </c>
    </row>
    <row r="7">
      <c r="A7" s="9" t="inlineStr">
        <is>
          <t>🔢 年手取り（自動）</t>
        </is>
      </c>
      <c r="B7" s="13">
        <f>B5*12+B6</f>
        <v/>
      </c>
    </row>
    <row r="9" ht="24" customHeight="1">
      <c r="A9" s="7" t="inlineStr">
        <is>
          <t>② 月の生活費</t>
        </is>
      </c>
      <c r="B9" s="8" t="n"/>
      <c r="C9" s="8" t="n"/>
      <c r="D9" s="8" t="n"/>
    </row>
    <row r="10">
      <c r="A10" s="9" t="inlineStr">
        <is>
          <t>月生活費合計</t>
        </is>
      </c>
      <c r="B10" s="12" t="n">
        <v>80000</v>
      </c>
    </row>
    <row r="11">
      <c r="A11" s="9" t="inlineStr">
        <is>
          <t>🔢 月貯蓄</t>
        </is>
      </c>
      <c r="B11" s="13">
        <f>B5-B10</f>
        <v/>
      </c>
    </row>
    <row r="12">
      <c r="A12" s="9" t="inlineStr">
        <is>
          <t>🔢 年貯蓄（ボーナス込）</t>
        </is>
      </c>
      <c r="B12" s="13">
        <f>B11*12+B6</f>
        <v/>
      </c>
    </row>
    <row r="14" ht="24" customHeight="1">
      <c r="A14" s="7" t="inlineStr">
        <is>
          <t>③ 現在の資産</t>
        </is>
      </c>
      <c r="B14" s="8" t="n"/>
      <c r="C14" s="8" t="n"/>
      <c r="D14" s="8" t="n"/>
    </row>
    <row r="15">
      <c r="A15" s="9" t="inlineStr">
        <is>
          <t>現在の貯金額</t>
        </is>
      </c>
      <c r="B15" s="12" t="n">
        <v>500000</v>
      </c>
    </row>
    <row r="16">
      <c r="A16" s="9" t="inlineStr">
        <is>
          <t>セミリタイアまでの年数</t>
        </is>
      </c>
      <c r="B16" s="11" t="n">
        <v>10</v>
      </c>
    </row>
    <row r="17">
      <c r="A17" s="9" t="inlineStr">
        <is>
          <t>🔢 セミリタイア時点の貯金</t>
        </is>
      </c>
      <c r="B17" s="13">
        <f>B15+B12*B16</f>
        <v/>
      </c>
    </row>
    <row r="19" ht="24" customHeight="1">
      <c r="A19" s="7" t="inlineStr">
        <is>
          <t>④ 投資（運用）設定</t>
        </is>
      </c>
      <c r="B19" s="8" t="n"/>
      <c r="C19" s="8" t="n"/>
      <c r="D19" s="8" t="n"/>
    </row>
    <row r="20">
      <c r="A20" s="9" t="inlineStr">
        <is>
          <t>初期投資元本</t>
        </is>
      </c>
      <c r="B20" s="12" t="n">
        <v>500000</v>
      </c>
    </row>
    <row r="21">
      <c r="A21" s="9" t="inlineStr">
        <is>
          <t>月積立額</t>
        </is>
      </c>
      <c r="B21" s="12" t="n">
        <v>50000</v>
      </c>
    </row>
    <row r="22">
      <c r="A22" s="9" t="inlineStr">
        <is>
          <t>想定年利</t>
        </is>
      </c>
      <c r="B22" s="14" t="n">
        <v>0.04</v>
      </c>
    </row>
    <row r="23">
      <c r="A23" s="9" t="inlineStr">
        <is>
          <t>運用期間</t>
        </is>
      </c>
      <c r="B23" s="15">
        <f>B16</f>
        <v/>
      </c>
    </row>
    <row r="24">
      <c r="A24" s="9" t="inlineStr">
        <is>
          <t>🔢 セミリタイア時点の運用資産</t>
        </is>
      </c>
      <c r="B24" s="16">
        <f>FV(B22/12,B23*12,-B21,-B20)</f>
        <v/>
      </c>
    </row>
    <row r="25">
      <c r="A25" s="9" t="inlineStr">
        <is>
          <t>🔢 総資産（貯金＋運用）</t>
        </is>
      </c>
      <c r="B25" s="16">
        <f>B17+B24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E0B2"/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32" customWidth="1" min="6" max="6"/>
  </cols>
  <sheetData>
    <row r="1" ht="32" customHeight="1">
      <c r="A1" s="1" t="inlineStr">
        <is>
          <t>🐪</t>
        </is>
      </c>
      <c r="B1" s="2" t="inlineStr">
        <is>
          <t>合算｜夫婦のFIREシミュレーション</t>
        </is>
      </c>
    </row>
    <row r="4" ht="24" customHeight="1">
      <c r="A4" s="7" t="inlineStr">
        <is>
          <t>① 現状の合計</t>
        </is>
      </c>
      <c r="B4" s="8" t="n"/>
      <c r="C4" s="8" t="n"/>
      <c r="D4" s="8" t="n"/>
      <c r="E4" s="8" t="n"/>
      <c r="F4" s="8" t="n"/>
    </row>
    <row r="5">
      <c r="A5" s="9" t="inlineStr">
        <is>
          <t>夫婦の年間貯蓄合計</t>
        </is>
      </c>
      <c r="B5" s="13">
        <f>自分!B12+パートナー!B12</f>
        <v/>
      </c>
    </row>
    <row r="6">
      <c r="A6" s="9" t="inlineStr">
        <is>
          <t>夫婦の現在資産（運用元本）</t>
        </is>
      </c>
      <c r="B6" s="13">
        <f>自分!B20+パートナー!B20</f>
        <v/>
      </c>
    </row>
    <row r="7">
      <c r="A7" s="9" t="inlineStr">
        <is>
          <t>夫婦の月積立合計</t>
        </is>
      </c>
      <c r="B7" s="13">
        <f>自分!B21+パートナー!B21</f>
        <v/>
      </c>
    </row>
    <row r="8">
      <c r="A8" s="9" t="inlineStr">
        <is>
          <t>夫婦の平均年利</t>
        </is>
      </c>
      <c r="B8" s="17">
        <f>AVERAGE(自分!B22,パートナー!B22)</f>
        <v/>
      </c>
    </row>
    <row r="10" ht="24" customHeight="1">
      <c r="A10" s="7" t="inlineStr">
        <is>
          <t>② FIRE 4シナリオ（年数を変えて試算）</t>
        </is>
      </c>
      <c r="B10" s="8" t="n"/>
      <c r="C10" s="8" t="n"/>
      <c r="D10" s="8" t="n"/>
      <c r="E10" s="8" t="n"/>
      <c r="F10" s="8" t="n"/>
    </row>
    <row r="11">
      <c r="A11" s="18" t="inlineStr">
        <is>
          <t>シナリオ</t>
        </is>
      </c>
      <c r="B11" s="18" t="inlineStr">
        <is>
          <t>月積立</t>
        </is>
      </c>
      <c r="C11" s="18" t="inlineStr">
        <is>
          <t>年利</t>
        </is>
      </c>
      <c r="D11" s="18" t="inlineStr">
        <is>
          <t>期間（年）</t>
        </is>
      </c>
      <c r="E11" s="18" t="inlineStr">
        <is>
          <t>資産（円）</t>
        </is>
      </c>
      <c r="F11" s="18" t="inlineStr">
        <is>
          <t>メモ</t>
        </is>
      </c>
    </row>
    <row r="12">
      <c r="A12" s="9" t="inlineStr">
        <is>
          <t>FIRE① 積立有</t>
        </is>
      </c>
      <c r="B12" s="19">
        <f>B7</f>
        <v/>
      </c>
      <c r="C12" s="14">
        <f>B8</f>
        <v/>
      </c>
      <c r="D12" s="20" t="n">
        <v>5</v>
      </c>
      <c r="E12" s="16">
        <f>FV(C12/12,D12*12,-B12,-B6)</f>
        <v/>
      </c>
      <c r="F12" s="9" t="inlineStr">
        <is>
          <t>5年継続したらの資産</t>
        </is>
      </c>
    </row>
    <row r="13">
      <c r="A13" s="9" t="inlineStr">
        <is>
          <t>FIRE② 積立0</t>
        </is>
      </c>
      <c r="B13" s="19" t="n">
        <v>0</v>
      </c>
      <c r="C13" s="14">
        <f>B8</f>
        <v/>
      </c>
      <c r="D13" s="20" t="n">
        <v>5</v>
      </c>
      <c r="E13" s="16">
        <f>FV(C13/12,D13*12,0,-E12)</f>
        <v/>
      </c>
      <c r="F13" s="9" t="inlineStr">
        <is>
          <t>積立止めて運用のみ</t>
        </is>
      </c>
    </row>
    <row r="14">
      <c r="A14" s="9" t="inlineStr">
        <is>
          <t>FIRE③ 月取崩し</t>
        </is>
      </c>
      <c r="B14" s="19" t="n">
        <v>100000</v>
      </c>
      <c r="C14" s="14">
        <f>B8/2</f>
        <v/>
      </c>
      <c r="D14" s="20" t="n">
        <v>10</v>
      </c>
      <c r="E14" s="16">
        <f>FV(C14/12,D14*12,B14,-E13)</f>
        <v/>
      </c>
      <c r="F14" s="9" t="inlineStr">
        <is>
          <t>10年取崩し続けたらの残高</t>
        </is>
      </c>
    </row>
    <row r="15">
      <c r="A15" s="9" t="inlineStr">
        <is>
          <t>FIRE④ 寿命（NPER）</t>
        </is>
      </c>
      <c r="B15" s="19" t="n">
        <v>200000</v>
      </c>
      <c r="C15" s="14" t="n">
        <v>0.03</v>
      </c>
      <c r="D15" s="9" t="inlineStr"/>
      <c r="E15" s="21">
        <f>IFERROR(ROUND(NPER(C15/12,-B15,E14)/12,1),"資金不足")</f>
        <v/>
      </c>
      <c r="F15" s="9" t="inlineStr">
        <is>
          <t>資産が尽きるまで何年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1C4E9"/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30" customWidth="1" min="5" max="5"/>
  </cols>
  <sheetData>
    <row r="1" ht="32" customHeight="1">
      <c r="A1" s="1" t="inlineStr">
        <is>
          <t>🐪</t>
        </is>
      </c>
      <c r="B1" s="2" t="inlineStr">
        <is>
          <t>資産収入｜資産額別の年利・月利</t>
        </is>
      </c>
    </row>
    <row r="4" ht="24" customHeight="1">
      <c r="A4" s="7" t="inlineStr">
        <is>
          <t>想定年利を入力（🟡）</t>
        </is>
      </c>
      <c r="B4" s="8" t="n"/>
      <c r="C4" s="8" t="n"/>
      <c r="D4" s="8" t="n"/>
      <c r="E4" s="8" t="n"/>
    </row>
    <row r="5">
      <c r="A5" s="9" t="inlineStr">
        <is>
          <t>想定年利A</t>
        </is>
      </c>
      <c r="B5" s="14" t="n">
        <v>0.03</v>
      </c>
      <c r="C5" s="3" t="inlineStr">
        <is>
          <t>(保守的)</t>
        </is>
      </c>
    </row>
    <row r="6">
      <c r="A6" s="9" t="inlineStr">
        <is>
          <t>想定年利B</t>
        </is>
      </c>
      <c r="B6" s="14" t="n">
        <v>0.05</v>
      </c>
      <c r="C6" s="3" t="inlineStr">
        <is>
          <t>(らくだ式)</t>
        </is>
      </c>
    </row>
    <row r="8" ht="24" customHeight="1">
      <c r="A8" s="7" t="inlineStr">
        <is>
          <t>資産額別シミュレーション</t>
        </is>
      </c>
      <c r="B8" s="8" t="n"/>
      <c r="C8" s="8" t="n"/>
      <c r="D8" s="8" t="n"/>
      <c r="E8" s="8" t="n"/>
    </row>
    <row r="9">
      <c r="A9" s="22" t="inlineStr">
        <is>
          <t>資産額</t>
        </is>
      </c>
      <c r="B9" s="22" t="inlineStr">
        <is>
          <t>年利A_年益</t>
        </is>
      </c>
      <c r="C9" s="22" t="inlineStr">
        <is>
          <t>年利A_月益</t>
        </is>
      </c>
      <c r="D9" s="22" t="inlineStr">
        <is>
          <t>年利B_年益</t>
        </is>
      </c>
      <c r="E9" s="22" t="inlineStr">
        <is>
          <t>年利B_月益</t>
        </is>
      </c>
    </row>
    <row r="10">
      <c r="A10" s="12" t="n">
        <v>10000000</v>
      </c>
      <c r="B10" s="13">
        <f>A10*B5</f>
        <v/>
      </c>
      <c r="C10" s="13">
        <f>B10/12</f>
        <v/>
      </c>
      <c r="D10" s="13">
        <f>A10*B6</f>
        <v/>
      </c>
      <c r="E10" s="13">
        <f>D10/12</f>
        <v/>
      </c>
    </row>
    <row r="11">
      <c r="A11" s="12" t="n">
        <v>20000000</v>
      </c>
      <c r="B11" s="13">
        <f>A11*B5</f>
        <v/>
      </c>
      <c r="C11" s="13">
        <f>B11/12</f>
        <v/>
      </c>
      <c r="D11" s="13">
        <f>A11*B6</f>
        <v/>
      </c>
      <c r="E11" s="13">
        <f>D11/12</f>
        <v/>
      </c>
    </row>
    <row r="12">
      <c r="A12" s="12" t="n">
        <v>30000000</v>
      </c>
      <c r="B12" s="13">
        <f>A12*B5</f>
        <v/>
      </c>
      <c r="C12" s="13">
        <f>B12/12</f>
        <v/>
      </c>
      <c r="D12" s="13">
        <f>A12*B6</f>
        <v/>
      </c>
      <c r="E12" s="13">
        <f>D12/12</f>
        <v/>
      </c>
    </row>
    <row r="13">
      <c r="A13" s="12" t="n">
        <v>50000000</v>
      </c>
      <c r="B13" s="13">
        <f>A13*B5</f>
        <v/>
      </c>
      <c r="C13" s="13">
        <f>B13/12</f>
        <v/>
      </c>
      <c r="D13" s="13">
        <f>A13*B6</f>
        <v/>
      </c>
      <c r="E13" s="13">
        <f>D13/12</f>
        <v/>
      </c>
    </row>
    <row r="14">
      <c r="A14" s="12" t="n">
        <v>80000000</v>
      </c>
      <c r="B14" s="13">
        <f>A14*B5</f>
        <v/>
      </c>
      <c r="C14" s="13">
        <f>B14/12</f>
        <v/>
      </c>
      <c r="D14" s="13">
        <f>A14*B6</f>
        <v/>
      </c>
      <c r="E14" s="13">
        <f>D14/12</f>
        <v/>
      </c>
    </row>
    <row r="15">
      <c r="A15" s="12" t="n">
        <v>100000000</v>
      </c>
      <c r="B15" s="13">
        <f>A15*B5</f>
        <v/>
      </c>
      <c r="C15" s="13">
        <f>B15/12</f>
        <v/>
      </c>
      <c r="D15" s="13">
        <f>A15*B6</f>
        <v/>
      </c>
      <c r="E15" s="13">
        <f>D15/12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CCBC"/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6" customWidth="1" min="3" max="3"/>
    <col width="40" customWidth="1" min="4" max="4"/>
  </cols>
  <sheetData>
    <row r="1" ht="32" customHeight="1">
      <c r="A1" s="1" t="inlineStr">
        <is>
          <t>🐪</t>
        </is>
      </c>
      <c r="B1" s="2" t="inlineStr">
        <is>
          <t>生活費｜月の家計内訳</t>
        </is>
      </c>
    </row>
    <row r="4" ht="24" customHeight="1">
      <c r="A4" s="7" t="inlineStr">
        <is>
          <t>項目別月額</t>
        </is>
      </c>
      <c r="B4" s="8" t="n"/>
      <c r="C4" s="8" t="n"/>
      <c r="D4" s="8" t="n"/>
    </row>
    <row r="5">
      <c r="A5" s="18" t="inlineStr">
        <is>
          <t>項目</t>
        </is>
      </c>
      <c r="B5" s="18" t="inlineStr">
        <is>
          <t>月額</t>
        </is>
      </c>
      <c r="D5" s="18" t="inlineStr">
        <is>
          <t>備考</t>
        </is>
      </c>
    </row>
    <row r="6">
      <c r="A6" s="9" t="inlineStr">
        <is>
          <t>住居費</t>
        </is>
      </c>
      <c r="B6" s="12" t="n">
        <v>90000</v>
      </c>
      <c r="D6" s="23" t="inlineStr">
        <is>
          <t>家賃・住宅ローン・管理費</t>
        </is>
      </c>
    </row>
    <row r="7">
      <c r="A7" s="9" t="inlineStr">
        <is>
          <t>食費</t>
        </is>
      </c>
      <c r="B7" s="12" t="n">
        <v>80000</v>
      </c>
      <c r="D7" s="23" t="inlineStr">
        <is>
          <t>自炊中心＋外食少し</t>
        </is>
      </c>
    </row>
    <row r="8">
      <c r="A8" s="9" t="inlineStr">
        <is>
          <t>水道光熱費</t>
        </is>
      </c>
      <c r="B8" s="12" t="n">
        <v>22000</v>
      </c>
      <c r="D8" s="23" t="inlineStr">
        <is>
          <t>電気・ガス・水道</t>
        </is>
      </c>
    </row>
    <row r="9">
      <c r="A9" s="9" t="inlineStr">
        <is>
          <t>通信費</t>
        </is>
      </c>
      <c r="B9" s="12" t="n">
        <v>18000</v>
      </c>
      <c r="D9" s="23" t="inlineStr">
        <is>
          <t>スマホ2台＋ネット</t>
        </is>
      </c>
    </row>
    <row r="10">
      <c r="A10" s="9" t="inlineStr">
        <is>
          <t>日用品</t>
        </is>
      </c>
      <c r="B10" s="12" t="n">
        <v>12000</v>
      </c>
      <c r="D10" s="23" t="inlineStr">
        <is>
          <t>消耗品・雑貨</t>
        </is>
      </c>
    </row>
    <row r="11">
      <c r="A11" s="9" t="inlineStr">
        <is>
          <t>交通費</t>
        </is>
      </c>
      <c r="B11" s="12" t="n">
        <v>20000</v>
      </c>
      <c r="D11" s="23" t="inlineStr">
        <is>
          <t>車・公共交通</t>
        </is>
      </c>
    </row>
    <row r="12">
      <c r="A12" s="9" t="inlineStr">
        <is>
          <t>教育費</t>
        </is>
      </c>
      <c r="B12" s="12" t="n">
        <v>30000</v>
      </c>
      <c r="D12" s="23" t="inlineStr">
        <is>
          <t>公立想定・習い事含む</t>
        </is>
      </c>
    </row>
    <row r="13">
      <c r="A13" s="9" t="inlineStr">
        <is>
          <t>医療・保険</t>
        </is>
      </c>
      <c r="B13" s="12" t="n">
        <v>15000</v>
      </c>
      <c r="D13" s="23" t="inlineStr">
        <is>
          <t>医療費＋保険</t>
        </is>
      </c>
    </row>
    <row r="14">
      <c r="A14" s="9" t="inlineStr">
        <is>
          <t>娯楽・交際費</t>
        </is>
      </c>
      <c r="B14" s="12" t="n">
        <v>25000</v>
      </c>
      <c r="D14" s="23" t="inlineStr">
        <is>
          <t>レジャー・外食</t>
        </is>
      </c>
    </row>
    <row r="15">
      <c r="A15" s="9" t="inlineStr">
        <is>
          <t>社会保険料</t>
        </is>
      </c>
      <c r="B15" s="12" t="n">
        <v>40000</v>
      </c>
      <c r="D15" s="23" t="inlineStr"/>
    </row>
    <row r="16">
      <c r="A16" s="9" t="inlineStr">
        <is>
          <t>🔢 合計（月）</t>
        </is>
      </c>
      <c r="B16" s="16">
        <f>SUM(B6:B15)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8D5A7"/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" customWidth="1" min="1" max="1"/>
    <col width="95" customWidth="1" min="2" max="2"/>
  </cols>
  <sheetData>
    <row r="1">
      <c r="A1" t="inlineStr">
        <is>
          <t>🐪</t>
        </is>
      </c>
      <c r="B1" s="24" t="inlineStr">
        <is>
          <t>残業嫌いのらくだ先生</t>
        </is>
      </c>
    </row>
    <row r="2">
      <c r="A2" t="inlineStr"/>
      <c r="B2" s="4" t="inlineStr"/>
    </row>
    <row r="3">
      <c r="A3" t="inlineStr">
        <is>
          <t>■</t>
        </is>
      </c>
      <c r="B3" s="5" t="inlineStr">
        <is>
          <t>プロフィール</t>
        </is>
      </c>
    </row>
    <row r="4">
      <c r="A4" t="inlineStr"/>
      <c r="B4" s="4" t="inlineStr">
        <is>
          <t>公立中学校教員（国語・20代）</t>
        </is>
      </c>
    </row>
    <row r="5">
      <c r="A5" t="inlineStr"/>
      <c r="B5" s="4" t="inlineStr">
        <is>
          <t>ICT・AIで残業ゼロ ｜ 副業10万 ｜ 5年で2000万円貯金</t>
        </is>
      </c>
    </row>
    <row r="6">
      <c r="A6" t="inlineStr"/>
      <c r="B6" s="4" t="inlineStr">
        <is>
          <t>日本株デイトレで-50万やった失敗から、低リスクインデックス投資に振り切り。</t>
        </is>
      </c>
    </row>
    <row r="7">
      <c r="A7" t="inlineStr"/>
      <c r="B7" s="4" t="inlineStr"/>
    </row>
    <row r="8">
      <c r="A8" t="inlineStr">
        <is>
          <t>■</t>
        </is>
      </c>
      <c r="B8" s="5" t="inlineStr">
        <is>
          <t>発信中</t>
        </is>
      </c>
    </row>
    <row r="9">
      <c r="A9" t="inlineStr"/>
      <c r="B9" s="4" t="inlineStr">
        <is>
          <t>X (Twitter): @rakuda_sensei</t>
        </is>
      </c>
    </row>
    <row r="10">
      <c r="A10" t="inlineStr"/>
      <c r="B10" s="4" t="inlineStr">
        <is>
          <t>note: https://note.com/rakuda_sensei</t>
        </is>
      </c>
    </row>
    <row r="11">
      <c r="A11" t="inlineStr"/>
      <c r="B11" s="4" t="inlineStr">
        <is>
          <t>BOOTH: https://rakuda-sensei.booth.pm</t>
        </is>
      </c>
    </row>
    <row r="12">
      <c r="A12" t="inlineStr"/>
      <c r="B12" s="4" t="inlineStr"/>
    </row>
    <row r="13">
      <c r="A13" t="inlineStr">
        <is>
          <t>■</t>
        </is>
      </c>
      <c r="B13" s="5" t="inlineStr">
        <is>
          <t>ご利用について</t>
        </is>
      </c>
    </row>
    <row r="14">
      <c r="A14" t="inlineStr"/>
      <c r="B14" s="4" t="inlineStr">
        <is>
          <t>・本商品の個人利用・校内利用は自由</t>
        </is>
      </c>
    </row>
    <row r="15">
      <c r="A15" t="inlineStr"/>
      <c r="B15" s="4" t="inlineStr">
        <is>
          <t>・二次配布・転売は禁止</t>
        </is>
      </c>
    </row>
    <row r="16">
      <c r="A16" t="inlineStr"/>
      <c r="B16" s="4" t="inlineStr">
        <is>
          <t>・本商品の数式・テンプレで生じた結果について作者は責任を負いません</t>
        </is>
      </c>
    </row>
    <row r="17">
      <c r="A17" t="inlineStr"/>
      <c r="B17" s="4" t="inlineStr">
        <is>
          <t>・改善要望・不具合報告は X DM までお気軽に！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2026-06-02T08:23:53Z</dcterms:created>
  <dcterms:modified xsi:type="dcterms:W3CDTF">2026-06-02T08:23:53Z</dcterms:modified>
</cp:coreProperties>
</file>