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取り投資フロー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,##0&quot;円&quot;"/>
    <numFmt numFmtId="166" formatCode="+#,##0&quot;円&quot;"/>
  </numFmts>
  <fonts count="23">
    <font>
      <name val="Calibri"/>
      <family val="2"/>
      <color theme="1"/>
      <sz val="11"/>
      <scheme val="minor"/>
    </font>
    <font>
      <name val="Noto Sans CJK JP"/>
      <b val="1"/>
      <color rgb="00FFFFFF"/>
      <sz val="22"/>
    </font>
    <font>
      <name val="Noto Sans CJK JP"/>
      <color rgb="00555555"/>
      <sz val="11"/>
    </font>
    <font>
      <name val="Noto Sans CJK JP"/>
      <b val="1"/>
      <color rgb="00FFFFFF"/>
      <sz val="13"/>
    </font>
    <font>
      <name val="Noto Sans CJK JP"/>
      <b val="1"/>
      <sz val="12"/>
    </font>
    <font>
      <name val="Noto Sans CJK JP"/>
      <b val="1"/>
      <color rgb="001B3A57"/>
      <sz val="14"/>
    </font>
    <font>
      <name val="Noto Sans CJK JP"/>
      <color rgb="00666666"/>
      <sz val="11"/>
    </font>
    <font>
      <name val="Noto Sans CJK JP"/>
      <b val="1"/>
      <color rgb="00FFFFFF"/>
      <sz val="15"/>
    </font>
    <font>
      <name val="Noto Sans CJK JP"/>
      <b val="1"/>
      <color rgb="001B3A57"/>
      <sz val="11"/>
    </font>
    <font>
      <name val="Noto Sans CJK JP"/>
      <b val="1"/>
      <color rgb="001B3A57"/>
      <sz val="24"/>
    </font>
    <font>
      <name val="Noto Sans CJK JP"/>
      <color rgb="00888888"/>
      <sz val="10"/>
    </font>
    <font>
      <name val="Noto Sans CJK JP"/>
      <b val="1"/>
      <color rgb="00FFFFFF"/>
      <sz val="11"/>
    </font>
    <font>
      <name val="Noto Sans CJK JP"/>
      <b val="1"/>
      <color rgb="001B3A57"/>
      <sz val="16"/>
    </font>
    <font>
      <name val="Noto Sans CJK JP"/>
      <b val="1"/>
      <color rgb="00555555"/>
      <sz val="14"/>
    </font>
    <font>
      <name val="Noto Sans CJK JP"/>
      <b val="1"/>
      <color rgb="001F8A4C"/>
      <sz val="18"/>
    </font>
    <font>
      <name val="Noto Sans CJK JP"/>
      <b val="1"/>
      <color rgb="000F5C5F"/>
      <sz val="14"/>
    </font>
    <font>
      <name val="Noto Sans CJK JP"/>
      <b val="1"/>
      <color rgb="001B3A57"/>
      <sz val="12"/>
    </font>
    <font>
      <name val="Noto Sans CJK JP"/>
      <color rgb="00333333"/>
      <sz val="11"/>
    </font>
    <font>
      <name val="Noto Sans CJK JP"/>
      <b val="1"/>
      <color rgb="00FFFFFF"/>
      <sz val="18"/>
    </font>
    <font>
      <name val="Noto Sans CJK JP"/>
      <color rgb="00000000"/>
      <sz val="11"/>
    </font>
    <font>
      <name val="Noto Sans CJK JP"/>
      <color rgb="001F8A4C"/>
      <sz val="11"/>
    </font>
    <font>
      <name val="Noto Sans CJK JP"/>
      <color rgb="00C0392B"/>
      <sz val="11"/>
    </font>
    <font>
      <name val="Noto Sans CJK JP"/>
      <color rgb="00888888"/>
      <sz val="11"/>
    </font>
  </fonts>
  <fills count="9">
    <fill>
      <patternFill/>
    </fill>
    <fill>
      <patternFill patternType="gray125"/>
    </fill>
    <fill>
      <patternFill patternType="solid">
        <fgColor rgb="001B3A57"/>
      </patternFill>
    </fill>
    <fill>
      <patternFill patternType="solid">
        <fgColor rgb="000F5C5F"/>
      </patternFill>
    </fill>
    <fill>
      <patternFill patternType="solid">
        <fgColor rgb="00F0F0F0"/>
      </patternFill>
    </fill>
    <fill>
      <patternFill patternType="solid">
        <fgColor rgb="00FFF5C6"/>
      </patternFill>
    </fill>
    <fill>
      <patternFill patternType="solid">
        <fgColor rgb="00DCE9F4"/>
      </patternFill>
    </fill>
    <fill>
      <patternFill patternType="solid">
        <fgColor rgb="00FFFFF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3" fontId="5" fillId="5" borderId="1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/>
    </xf>
    <xf numFmtId="164" fontId="5" fillId="5" borderId="1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165" fontId="13" fillId="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166" fontId="15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 indent="2"/>
    </xf>
    <xf numFmtId="0" fontId="3" fillId="8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left" vertical="center" wrapText="1" indent="1"/>
    </xf>
    <xf numFmtId="0" fontId="19" fillId="0" borderId="0" applyAlignment="1" pivotButton="0" quotePrefix="0" xfId="0">
      <alignment horizontal="left" vertical="center" wrapText="1" indent="1"/>
    </xf>
    <xf numFmtId="0" fontId="5" fillId="6" borderId="0" applyAlignment="1" pivotButton="0" quotePrefix="0" xfId="0">
      <alignment horizontal="left" vertical="center" wrapText="1" indent="1"/>
    </xf>
    <xf numFmtId="0" fontId="17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2">
    <dxf>
      <fill>
        <patternFill patternType="solid">
          <fgColor rgb="001F8A4C"/>
        </patternFill>
      </fill>
    </dxf>
    <dxf>
      <fill>
        <patternFill patternType="solid">
          <fgColor rgb="00C0392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43"/>
  <sheetViews>
    <sheetView workbookViewId="0">
      <selection activeCell="A1" sqref="A1"/>
    </sheetView>
  </sheetViews>
  <sheetFormatPr baseColWidth="8" defaultRowHeight="15" outlineLevelCol="0"/>
  <cols>
    <col width="2" customWidth="1" min="1" max="1"/>
    <col width="22" customWidth="1" min="2" max="2"/>
    <col width="18" customWidth="1" min="3" max="3"/>
    <col width="4" customWidth="1" min="4" max="4"/>
    <col width="18" customWidth="1" min="5" max="5"/>
    <col width="18" customWidth="1" min="6" max="6"/>
    <col width="18" customWidth="1" min="7" max="7"/>
    <col width="18" customWidth="1" min="8" max="8"/>
    <col width="2" customWidth="1" min="9" max="9"/>
  </cols>
  <sheetData>
    <row r="2" ht="30" customHeight="1">
      <c r="B2" s="1" t="inlineStr">
        <is>
          <t>🐪 先取り投資フロー設計シート</t>
        </is>
      </c>
    </row>
    <row r="3" ht="18" customHeight="1"/>
    <row r="4" ht="22" customHeight="1">
      <c r="B4" s="2" t="inlineStr">
        <is>
          <t>3項目を入れるだけ。あなたの『先取り投資→生活→貯金』の不等式と、5年・10年・20年後の到達額を出します。</t>
        </is>
      </c>
    </row>
    <row r="6" ht="26" customHeight="1">
      <c r="B6" s="3" t="inlineStr">
        <is>
          <t>① 黄色セルに3項目入れる</t>
        </is>
      </c>
    </row>
    <row r="7" ht="28" customHeight="1">
      <c r="B7" s="4" t="inlineStr">
        <is>
          <t>手取り月収 (円)</t>
        </is>
      </c>
      <c r="C7" s="5" t="n">
        <v>250000</v>
      </c>
      <c r="D7" s="6" t="inlineStr">
        <is>
          <t>円</t>
        </is>
      </c>
    </row>
    <row r="8" ht="28" customHeight="1">
      <c r="B8" s="4" t="inlineStr">
        <is>
          <t>先取り投資の月額 (円)</t>
        </is>
      </c>
      <c r="C8" s="5" t="n">
        <v>50000</v>
      </c>
      <c r="D8" s="6" t="inlineStr">
        <is>
          <t>円</t>
        </is>
      </c>
    </row>
    <row r="9" ht="28" customHeight="1">
      <c r="B9" s="4" t="inlineStr">
        <is>
          <t>想定年利 (%)</t>
        </is>
      </c>
      <c r="C9" s="7" t="n">
        <v>5</v>
      </c>
      <c r="D9" s="6" t="inlineStr">
        <is>
          <t>％</t>
        </is>
      </c>
    </row>
    <row r="11" ht="26" customHeight="1">
      <c r="B11" s="3" t="inlineStr">
        <is>
          <t>② あなたの不等式チェック</t>
        </is>
      </c>
    </row>
    <row r="12" ht="28" customHeight="1">
      <c r="B12" s="8">
        <f>IF(AND(C7&gt;C8,C8&gt;0,C7-C8&gt;=80000),"✅ 緑バナー：不等式 成立。このまま証券口座で自動積立を設定してOK","🟥 赤バナー：先取り投資が大きすぎ or 生活費 80,000 円を切る。固定費から見直し")</f>
        <v/>
      </c>
    </row>
    <row r="13" ht="28" customHeight="1"/>
    <row r="15" ht="26" customHeight="1">
      <c r="B15" s="3" t="inlineStr">
        <is>
          <t>③ お金の流れ（先取り投資→生活→貯金）</t>
        </is>
      </c>
    </row>
    <row r="16" ht="24" customHeight="1">
      <c r="B16" s="9" t="inlineStr">
        <is>
          <t>① 先取り投資</t>
        </is>
      </c>
      <c r="E16" s="9" t="inlineStr">
        <is>
          <t>② 生活費（残り）</t>
        </is>
      </c>
      <c r="G16" s="9" t="inlineStr">
        <is>
          <t>③ 貯金 / 米株予備</t>
        </is>
      </c>
    </row>
    <row r="17" ht="44" customHeight="1">
      <c r="B17" s="10">
        <f>C8</f>
        <v/>
      </c>
      <c r="D17" s="11" t="inlineStr">
        <is>
          <t>→</t>
        </is>
      </c>
      <c r="E17" s="10">
        <f>C7-C8</f>
        <v/>
      </c>
      <c r="F17" s="11" t="inlineStr">
        <is>
          <t>→</t>
        </is>
      </c>
      <c r="G17" s="10">
        <f>MAX(0,C7-C8-100000)</f>
        <v/>
      </c>
    </row>
    <row r="19" ht="20" customHeight="1">
      <c r="B19" s="12" t="inlineStr">
        <is>
          <t>（生活費の目安は 月 100,000 円。「貯金 / 米株予備」は生活費を引いた残りです）</t>
        </is>
      </c>
    </row>
    <row r="21" ht="26" customHeight="1">
      <c r="B21" s="3" t="inlineStr">
        <is>
          <t>④ 5年・10年・20年で積み上がる額（年利込み）</t>
        </is>
      </c>
    </row>
    <row r="22" ht="26" customHeight="1">
      <c r="B22" s="13" t="inlineStr">
        <is>
          <t>年数</t>
        </is>
      </c>
      <c r="C22" s="13" t="inlineStr">
        <is>
          <t>元本（積立×期間）</t>
        </is>
      </c>
      <c r="E22" s="13" t="inlineStr">
        <is>
          <t>複利込みの到達額</t>
        </is>
      </c>
      <c r="G22" s="13" t="inlineStr">
        <is>
          <t>複利で増えた分</t>
        </is>
      </c>
    </row>
    <row r="23" ht="38" customHeight="1">
      <c r="B23" s="14" t="inlineStr">
        <is>
          <t>5年後</t>
        </is>
      </c>
      <c r="C23" s="15">
        <f>C8*12*5</f>
        <v/>
      </c>
      <c r="E23" s="16">
        <f>C8*((1+C9/100/12)^(5*12)-1)/(C9/100/12)</f>
        <v/>
      </c>
      <c r="G23" s="17">
        <f>(C8*((1+C9/100/12)^(5*12)-1)/(C9/100/12)) - C8*12*5</f>
        <v/>
      </c>
    </row>
    <row r="24" ht="38" customHeight="1">
      <c r="B24" s="14" t="inlineStr">
        <is>
          <t>10年後</t>
        </is>
      </c>
      <c r="C24" s="15">
        <f>C8*12*10</f>
        <v/>
      </c>
      <c r="E24" s="16">
        <f>C8*((1+C9/100/12)^(10*12)-1)/(C9/100/12)</f>
        <v/>
      </c>
      <c r="G24" s="17">
        <f>(C8*((1+C9/100/12)^(10*12)-1)/(C9/100/12)) - C8*12*10</f>
        <v/>
      </c>
    </row>
    <row r="25" ht="38" customHeight="1">
      <c r="B25" s="14" t="inlineStr">
        <is>
          <t>20年後</t>
        </is>
      </c>
      <c r="C25" s="15">
        <f>C8*12*20</f>
        <v/>
      </c>
      <c r="E25" s="16">
        <f>C8*((1+C9/100/12)^(20*12)-1)/(C9/100/12)</f>
        <v/>
      </c>
      <c r="G25" s="17">
        <f>(C8*((1+C9/100/12)^(20*12)-1)/(C9/100/12)) - C8*12*20</f>
        <v/>
      </c>
    </row>
    <row r="27" ht="36" customHeight="1">
      <c r="B27" s="18">
        <f>CONCATENATE("👉 20年後、元本 ", TEXT(C8*12*20,"#,##0"), "円 が ", TEXT(C8*((1+C9/100/12)^(20*12)-1)/(C9/100/12),"#,##0"), "円 に化けます。複利の威力を体感してください。")</f>
        <v/>
      </c>
    </row>
    <row r="29" ht="26" customHeight="1">
      <c r="B29" s="3" t="inlineStr">
        <is>
          <t>⑤ 緑バナーが出た方の次の一歩</t>
        </is>
      </c>
    </row>
    <row r="30" ht="22" customHeight="1">
      <c r="B30" s="19" t="inlineStr">
        <is>
          <t>1. SBI・楽天・マネックスのいずれかで証券口座を開く（無料）</t>
        </is>
      </c>
    </row>
    <row r="31" ht="22" customHeight="1">
      <c r="B31" s="19" t="inlineStr">
        <is>
          <t>2. 「つみたて投資枠」で eMAXIS Slim S&amp;P500 を選択</t>
        </is>
      </c>
    </row>
    <row r="32" ht="22" customHeight="1">
      <c r="B32" s="19" t="inlineStr">
        <is>
          <t>3. 「成長投資枠」で eMAXIS Slim 全世界株式（オルカン）を選択</t>
        </is>
      </c>
    </row>
    <row r="33" ht="22" customHeight="1">
      <c r="B33" s="19" t="inlineStr">
        <is>
          <t>4. 上の②の金額を 50:50 で割って、毎月の自動積立を設定</t>
        </is>
      </c>
    </row>
    <row r="34" ht="22" customHeight="1">
      <c r="B34" s="19" t="inlineStr">
        <is>
          <t>5. 設定したら 5 年間ログインしない（手動売買が最大の敵）</t>
        </is>
      </c>
    </row>
    <row r="36" ht="26" customHeight="1">
      <c r="B36" s="20" t="inlineStr">
        <is>
          <t>⑥ 赤バナーが出た方の改善案（固定費から見直す）</t>
        </is>
      </c>
    </row>
    <row r="37" ht="22" customHeight="1">
      <c r="B37" s="19" t="inlineStr">
        <is>
          <t>通信費 → 格安SIM へ（月 8,000 円 → 1,500 円）</t>
        </is>
      </c>
    </row>
    <row r="38" ht="22" customHeight="1">
      <c r="B38" s="19" t="inlineStr">
        <is>
          <t>保険 → 掛け捨て or 共済へ見直し（月 数千円〜）</t>
        </is>
      </c>
    </row>
    <row r="39" ht="22" customHeight="1">
      <c r="B39" s="19" t="inlineStr">
        <is>
          <t>サブスク → 90 日使ってないものは即解約</t>
        </is>
      </c>
    </row>
    <row r="40" ht="22" customHeight="1">
      <c r="B40" s="19" t="inlineStr">
        <is>
          <t>電気・ガス → 新電力プラン比較（年 1〜2 万円）</t>
        </is>
      </c>
    </row>
    <row r="41" ht="22" customHeight="1">
      <c r="B41" s="19" t="inlineStr">
        <is>
          <t>家賃 → 引っ越し or 家賃交渉（年 数十万円）</t>
        </is>
      </c>
    </row>
    <row r="43" ht="20" customHeight="1">
      <c r="B43" s="12" t="inlineStr">
        <is>
          <t>🐪 残業嫌いのらくだ先生　|　note 記事 003 添付　|　数字は1万円単位で四捨五入推奨</t>
        </is>
      </c>
    </row>
  </sheetData>
  <mergeCells count="40">
    <mergeCell ref="B16:C16"/>
    <mergeCell ref="C24:D24"/>
    <mergeCell ref="B40:H40"/>
    <mergeCell ref="E24:F24"/>
    <mergeCell ref="B6:H6"/>
    <mergeCell ref="B12:H13"/>
    <mergeCell ref="E23:F23"/>
    <mergeCell ref="E16"/>
    <mergeCell ref="B15:H15"/>
    <mergeCell ref="B2:H3"/>
    <mergeCell ref="G23:H23"/>
    <mergeCell ref="B30:H30"/>
    <mergeCell ref="B33:H33"/>
    <mergeCell ref="G17:H17"/>
    <mergeCell ref="B37:H37"/>
    <mergeCell ref="B36:H36"/>
    <mergeCell ref="B32:H32"/>
    <mergeCell ref="B41:H41"/>
    <mergeCell ref="B4:H4"/>
    <mergeCell ref="C25:D25"/>
    <mergeCell ref="C22:D22"/>
    <mergeCell ref="B17:C17"/>
    <mergeCell ref="B31:H31"/>
    <mergeCell ref="E17"/>
    <mergeCell ref="G24:H24"/>
    <mergeCell ref="B27:H27"/>
    <mergeCell ref="B21:H21"/>
    <mergeCell ref="B43:H43"/>
    <mergeCell ref="B39:H39"/>
    <mergeCell ref="B11:H11"/>
    <mergeCell ref="C23:D23"/>
    <mergeCell ref="G16:H16"/>
    <mergeCell ref="E25:F25"/>
    <mergeCell ref="G25:H25"/>
    <mergeCell ref="B38:H38"/>
    <mergeCell ref="E22:F22"/>
    <mergeCell ref="B29:H29"/>
    <mergeCell ref="G22:H22"/>
    <mergeCell ref="B19:H19"/>
    <mergeCell ref="B34:H34"/>
  </mergeCells>
  <conditionalFormatting sqref="B12:H13">
    <cfRule type="expression" priority="1" dxfId="0">
      <formula>AND($C$7&gt;$C$8,$C$8&gt;0,$C$7-$C$8&gt;=80000)</formula>
    </cfRule>
    <cfRule type="expression" priority="2" dxfId="1">
      <formula>NOT(AND($C$7&gt;$C$8,$C$8&gt;0,$C$7-$C$8&gt;=80000))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0"/>
  <sheetViews>
    <sheetView workbookViewId="0">
      <selection activeCell="A1" sqref="A1"/>
    </sheetView>
  </sheetViews>
  <sheetFormatPr baseColWidth="8" defaultRowHeight="15" outlineLevelCol="0"/>
  <cols>
    <col width="2" customWidth="1" min="1" max="1"/>
    <col width="100" customWidth="1" min="2" max="2"/>
  </cols>
  <sheetData>
    <row r="2" ht="28.8" customHeight="1">
      <c r="B2" s="21" t="inlineStr">
        <is>
          <t>🐪 先取り投資フロー設計シート 使い方</t>
        </is>
      </c>
    </row>
    <row r="3" ht="24" customHeight="1">
      <c r="B3" s="22" t="inlineStr"/>
    </row>
    <row r="4" ht="24" customHeight="1">
      <c r="B4" s="23" t="inlineStr">
        <is>
          <t>【3項目を黄色セルに入れるだけ】</t>
        </is>
      </c>
    </row>
    <row r="5" ht="24" customHeight="1">
      <c r="B5" s="24" t="inlineStr">
        <is>
          <t>① 手取り月収（額面ではなく口座に入る金額）</t>
        </is>
      </c>
    </row>
    <row r="6" ht="24" customHeight="1">
      <c r="B6" s="24" t="inlineStr">
        <is>
          <t>② 先取り投資の月額（NISA 自動積立に回したい金額）</t>
        </is>
      </c>
    </row>
    <row r="7" ht="24" customHeight="1">
      <c r="B7" s="24" t="inlineStr">
        <is>
          <t>③ 想定年利（迷ったら 5% のまま。S&amp;P500 の長期平均は 7% ですが円ベース・インフレ調整後で 5%）</t>
        </is>
      </c>
    </row>
    <row r="8" ht="24" customHeight="1">
      <c r="B8" s="22" t="inlineStr"/>
    </row>
    <row r="9" ht="24" customHeight="1">
      <c r="B9" s="23" t="inlineStr">
        <is>
          <t>【判定の意味】</t>
        </is>
      </c>
    </row>
    <row r="10" ht="24" customHeight="1">
      <c r="B10" s="25" t="inlineStr">
        <is>
          <t>✅ 緑：先取り投資後の残りで月8万円以上の生活費が確保できる → そのまま自動積立OK</t>
        </is>
      </c>
    </row>
    <row r="11" ht="24" customHeight="1">
      <c r="B11" s="26" t="inlineStr">
        <is>
          <t>🟥 赤：生活費が8万円を切る or 先取り投資が手取りより大きい → 固定費見直しから</t>
        </is>
      </c>
    </row>
    <row r="12" ht="24" customHeight="1">
      <c r="B12" s="22" t="inlineStr"/>
    </row>
    <row r="13" ht="24" customHeight="1">
      <c r="B13" s="23" t="inlineStr">
        <is>
          <t>【数値の根拠】</t>
        </is>
      </c>
    </row>
    <row r="14" ht="24" customHeight="1">
      <c r="B14" s="24" t="inlineStr">
        <is>
          <t>複利計算式：FV = PMT × ((1+r/12)^(n×12) − 1) / (r/12)</t>
        </is>
      </c>
    </row>
    <row r="15" ht="24" customHeight="1">
      <c r="B15" s="27" t="inlineStr">
        <is>
          <t>（PMT=月額積立、r=年利、n=年数。月複利の積立FV公式）</t>
        </is>
      </c>
    </row>
    <row r="16" ht="24" customHeight="1">
      <c r="B16" s="22" t="inlineStr"/>
    </row>
    <row r="17" ht="24" customHeight="1">
      <c r="B17" s="23" t="inlineStr">
        <is>
          <t>【注意】</t>
        </is>
      </c>
    </row>
    <row r="18" ht="24" customHeight="1">
      <c r="B18" s="24" t="inlineStr">
        <is>
          <t>・実際のリターンは市場により変動します。年利5%は保証ではありません</t>
        </is>
      </c>
    </row>
    <row r="19" ht="24" customHeight="1">
      <c r="B19" s="24" t="inlineStr">
        <is>
          <t>・本シートは家計設計の参考。投資判断は自己責任でお願いします</t>
        </is>
      </c>
    </row>
    <row r="20" ht="24" customHeight="1">
      <c r="B20" s="24" t="inlineStr">
        <is>
          <t>・iDeCo・つみたて NISA・小規模企業共済などとの併用は別途検討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2026-06-08T08:29:50Z</dcterms:created>
  <dcterms:modified xsi:type="dcterms:W3CDTF">2026-06-08T08:29:50Z</dcterms:modified>
</cp:coreProperties>
</file>