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生活費" sheetId="2" state="visible" r:id="rId2"/>
    <sheet name="入力" sheetId="3" state="visible" r:id="rId3"/>
    <sheet name="結論" sheetId="4" state="visible" r:id="rId4"/>
    <sheet name="年次推移" sheetId="5" state="visible" r:id="rId5"/>
    <sheet name="FIRE試算" sheetId="6" state="visible" r:id="rId6"/>
    <sheet name="らくだ先生について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&quot;円&quot;"/>
    <numFmt numFmtId="165" formatCode="0&quot;歳&quot;"/>
    <numFmt numFmtId="166" formatCode="0.0%"/>
    <numFmt numFmtId="167" formatCode="0&quot;年&quot;"/>
    <numFmt numFmtId="168" formatCode="0&quot;年後&quot;"/>
    <numFmt numFmtId="169" formatCode="#,##0&quot;円&quot;;[Red]-#,##0&quot;円&quot;"/>
  </numFmts>
  <fonts count="18">
    <font>
      <name val="Calibri"/>
      <family val="2"/>
      <color theme="1"/>
      <sz val="11"/>
      <scheme val="minor"/>
    </font>
    <font>
      <name val="メイリオ"/>
      <color rgb="003D2F1F"/>
      <sz val="24"/>
    </font>
    <font>
      <name val="メイリオ"/>
      <b val="1"/>
      <color rgb="003D2F1F"/>
      <sz val="22"/>
    </font>
    <font>
      <name val="メイリオ"/>
      <color rgb="00666666"/>
      <sz val="10"/>
    </font>
    <font>
      <name val="メイリオ"/>
      <color rgb="003D2F1F"/>
      <sz val="11"/>
    </font>
    <font>
      <name val="メイリオ"/>
      <b val="1"/>
      <color rgb="008B6F47"/>
      <sz val="13"/>
    </font>
    <font>
      <name val="メイリオ"/>
      <b val="1"/>
      <color rgb="00FFFFFF"/>
      <sz val="13"/>
    </font>
    <font>
      <name val="メイリオ"/>
      <b val="1"/>
      <color rgb="003D2F1F"/>
      <sz val="11"/>
    </font>
    <font>
      <name val="メイリオ"/>
      <b val="1"/>
      <color rgb="00555555"/>
      <sz val="11"/>
    </font>
    <font>
      <name val="メイリオ"/>
      <b val="1"/>
      <color rgb="003D2F1F"/>
      <sz val="18"/>
    </font>
    <font>
      <name val="メイリオ"/>
      <b val="1"/>
      <color rgb="002E7D32"/>
      <sz val="14"/>
    </font>
    <font>
      <name val="メイリオ"/>
      <b val="1"/>
      <color rgb="00D32F2F"/>
      <sz val="12"/>
    </font>
    <font>
      <name val="メイリオ"/>
      <b val="1"/>
      <color rgb="003D2F1F"/>
      <sz val="12"/>
    </font>
    <font>
      <name val="メイリオ"/>
      <i val="1"/>
      <color rgb="00999999"/>
      <sz val="9"/>
    </font>
    <font>
      <name val="メイリオ"/>
      <b val="1"/>
      <color rgb="000277BD"/>
      <sz val="11"/>
    </font>
    <font>
      <name val="メイリオ"/>
      <b val="1"/>
      <color rgb="006A1B9A"/>
      <sz val="11"/>
    </font>
    <font>
      <name val="メイリオ"/>
      <b val="1"/>
      <color rgb="00FFFFFF"/>
      <sz val="14"/>
    </font>
    <font>
      <name val="メイリオ"/>
      <b val="1"/>
      <color rgb="00FFFFFF"/>
      <sz val="36"/>
    </font>
  </fonts>
  <fills count="10">
    <fill>
      <patternFill/>
    </fill>
    <fill>
      <patternFill patternType="gray125"/>
    </fill>
    <fill>
      <patternFill patternType="solid">
        <fgColor rgb="00E8D5A7"/>
        <bgColor rgb="00E8D5A7"/>
      </patternFill>
    </fill>
    <fill>
      <patternFill patternType="solid">
        <fgColor rgb="008B6F47"/>
        <bgColor rgb="008B6F47"/>
      </patternFill>
    </fill>
    <fill>
      <patternFill patternType="solid">
        <fgColor rgb="00FFF59D"/>
        <bgColor rgb="00FFF59D"/>
      </patternFill>
    </fill>
    <fill>
      <patternFill patternType="solid">
        <fgColor rgb="00FAFAFA"/>
        <bgColor rgb="00FAFAFA"/>
      </patternFill>
    </fill>
    <fill>
      <patternFill patternType="solid">
        <fgColor rgb="00A5D6A7"/>
        <bgColor rgb="00A5D6A7"/>
      </patternFill>
    </fill>
    <fill>
      <patternFill patternType="solid">
        <fgColor rgb="00B3E5FC"/>
        <bgColor rgb="00B3E5FC"/>
      </patternFill>
    </fill>
    <fill>
      <patternFill patternType="solid">
        <fgColor rgb="00D1C4E9"/>
        <bgColor rgb="00D1C4E9"/>
      </patternFill>
    </fill>
    <fill>
      <patternFill patternType="solid">
        <fgColor rgb="0066BB6A"/>
        <bgColor rgb="0066BB6A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8B6F47"/>
      </left>
      <right style="medium">
        <color rgb="008B6F47"/>
      </right>
      <top style="medium">
        <color rgb="008B6F47"/>
      </top>
      <bottom style="medium">
        <color rgb="008B6F47"/>
      </bottom>
    </border>
    <border>
      <left style="medium">
        <color rgb="00D32F2F"/>
      </left>
      <right style="medium">
        <color rgb="00D32F2F"/>
      </right>
      <top style="medium">
        <color rgb="00D32F2F"/>
      </top>
      <bottom style="medium">
        <color rgb="00D32F2F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7" fillId="4" borderId="2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164" fontId="9" fillId="6" borderId="2" applyAlignment="1" pivotButton="0" quotePrefix="0" xfId="0">
      <alignment horizontal="right" vertical="center"/>
    </xf>
    <xf numFmtId="0" fontId="10" fillId="6" borderId="2" applyAlignment="1" pivotButton="0" quotePrefix="0" xfId="0">
      <alignment horizontal="right" vertical="center"/>
    </xf>
    <xf numFmtId="0" fontId="11" fillId="0" borderId="0" pivotButton="0" quotePrefix="0" xfId="0"/>
    <xf numFmtId="0" fontId="7" fillId="0" borderId="1" applyAlignment="1" pivotButton="0" quotePrefix="0" xfId="0">
      <alignment horizontal="left" vertical="center" wrapText="1"/>
    </xf>
    <xf numFmtId="165" fontId="12" fillId="4" borderId="2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 wrapText="1"/>
    </xf>
    <xf numFmtId="164" fontId="12" fillId="4" borderId="2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left" vertical="center" wrapText="1"/>
    </xf>
    <xf numFmtId="164" fontId="12" fillId="7" borderId="2" applyAlignment="1" pivotButton="0" quotePrefix="0" xfId="0">
      <alignment horizontal="right" vertical="center"/>
    </xf>
    <xf numFmtId="0" fontId="15" fillId="0" borderId="1" applyAlignment="1" pivotButton="0" quotePrefix="0" xfId="0">
      <alignment horizontal="left" vertical="center" wrapText="1"/>
    </xf>
    <xf numFmtId="164" fontId="12" fillId="8" borderId="2" applyAlignment="1" pivotButton="0" quotePrefix="0" xfId="0">
      <alignment horizontal="right" vertical="center"/>
    </xf>
    <xf numFmtId="166" fontId="12" fillId="4" borderId="2" applyAlignment="1" pivotButton="0" quotePrefix="0" xfId="0">
      <alignment horizontal="right" vertical="center"/>
    </xf>
    <xf numFmtId="0" fontId="16" fillId="9" borderId="3" pivotButton="0" quotePrefix="0" xfId="0"/>
    <xf numFmtId="0" fontId="0" fillId="9" borderId="3" pivotButton="0" quotePrefix="0" xfId="0"/>
    <xf numFmtId="0" fontId="17" fillId="9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166" fontId="9" fillId="6" borderId="2" applyAlignment="1" pivotButton="0" quotePrefix="0" xfId="0">
      <alignment horizontal="right" vertical="center"/>
    </xf>
    <xf numFmtId="49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8" fontId="0" fillId="0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right" vertical="center"/>
    </xf>
    <xf numFmtId="164" fontId="0" fillId="8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9" fontId="0" fillId="0" borderId="1" applyAlignment="1" pivotButton="0" quotePrefix="0" xfId="0">
      <alignment horizontal="right" vertical="center"/>
    </xf>
    <xf numFmtId="0" fontId="7" fillId="0" borderId="1" pivotButton="0" quotePrefix="0" xfId="0"/>
    <xf numFmtId="164" fontId="0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center" vertical="center" wrapText="1"/>
    </xf>
    <xf numFmtId="164" fontId="7" fillId="6" borderId="2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6F47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" customWidth="1" min="1" max="1"/>
    <col width="95" customWidth="1" min="2" max="2"/>
  </cols>
  <sheetData>
    <row r="1" ht="36" customHeight="1">
      <c r="A1" s="1" t="inlineStr">
        <is>
          <t>🐪</t>
        </is>
      </c>
      <c r="B1" s="2" t="inlineStr">
        <is>
          <t>夫婦で実践｜サイドFIRE計画シート v4.1</t>
        </is>
      </c>
    </row>
    <row r="2">
      <c r="B2" s="3" t="inlineStr">
        <is>
          <t>貯金と運用を分離・生活費は内訳から自動・読みやすい〇万円表示付き</t>
        </is>
      </c>
    </row>
    <row r="3">
      <c r="B3" s="4" t="inlineStr"/>
    </row>
    <row r="4">
      <c r="B4" s="5" t="inlineStr">
        <is>
          <t>■ 読む順番</t>
        </is>
      </c>
    </row>
    <row r="5">
      <c r="B5" s="4" t="inlineStr">
        <is>
          <t>①使い方 (このページ)</t>
        </is>
      </c>
    </row>
    <row r="6">
      <c r="B6" s="4" t="inlineStr">
        <is>
          <t>②生活費 ← 月の支出を項目別に入力</t>
        </is>
      </c>
    </row>
    <row r="7">
      <c r="B7" s="4" t="inlineStr">
        <is>
          <t>③入力 ← 黄色セル全部書き換える（年齢・収入・資産・投資設定）</t>
        </is>
      </c>
    </row>
    <row r="8">
      <c r="B8" s="4" t="inlineStr">
        <is>
          <t>④🎯 結論 ← ここを開けば全部わかる</t>
        </is>
      </c>
    </row>
    <row r="9">
      <c r="B9" s="4" t="inlineStr">
        <is>
          <t>⑤年次推移 ← 何歳でいくら持てるか</t>
        </is>
      </c>
    </row>
    <row r="10">
      <c r="B10" s="4" t="inlineStr">
        <is>
          <t>⑥FIRE試算 ← 別シナリオ比較</t>
        </is>
      </c>
    </row>
    <row r="11">
      <c r="B11" s="4" t="inlineStr"/>
    </row>
    <row r="12">
      <c r="B12" s="5" t="inlineStr">
        <is>
          <t>■ 「〇万円」表示について</t>
        </is>
      </c>
    </row>
    <row r="13">
      <c r="B13" s="4" t="inlineStr">
        <is>
          <t>・大きい桁の数字（億・千万）は右隣のセルに『〇億〇万円』形式で表示されます</t>
        </is>
      </c>
    </row>
    <row r="14">
      <c r="B14" s="4" t="inlineStr">
        <is>
          <t>・例: 30,000,000円 → 「3,000万円」</t>
        </is>
      </c>
    </row>
    <row r="15">
      <c r="B15" s="4" t="inlineStr">
        <is>
          <t>・例: 150,000,000円 → 「1億5,000万円」</t>
        </is>
      </c>
    </row>
    <row r="16">
      <c r="B16" s="4" t="inlineStr"/>
    </row>
    <row r="17">
      <c r="B17" s="5" t="inlineStr">
        <is>
          <t>■ サイドFIREの計算根拠</t>
        </is>
      </c>
    </row>
    <row r="18">
      <c r="B18" s="4" t="inlineStr">
        <is>
          <t>・必要資産 = 年取崩額 × 25倍（4%ルール）</t>
        </is>
      </c>
    </row>
    <row r="19">
      <c r="B19" s="4" t="inlineStr">
        <is>
          <t>・年取崩額 = FIRE後の年生活費 − 副業年収</t>
        </is>
      </c>
    </row>
    <row r="20">
      <c r="B20" s="4" t="inlineStr">
        <is>
          <t>・例: 年300万生活で年100万副業なら (300-100)×25 = 5,000万必要</t>
        </is>
      </c>
    </row>
    <row r="21">
      <c r="B21" s="4" t="inlineStr"/>
    </row>
    <row r="22">
      <c r="B22" s="5" t="inlineStr">
        <is>
          <t>■ 注意</t>
        </is>
      </c>
    </row>
    <row r="23">
      <c r="B23" s="6" t="inlineStr">
        <is>
          <t>→ 数字はサンプルです。あなたの状況に書き換えてください</t>
        </is>
      </c>
    </row>
    <row r="24">
      <c r="B24" s="6" t="inlineStr">
        <is>
          <t>→ 想定年利は過去実績(オルカン+SP500で5-6%)、元本割れリスクあり</t>
        </is>
      </c>
    </row>
    <row r="25">
      <c r="B25" s="6" t="inlineStr">
        <is>
          <t>→ 4%ルールは米国実績、日本では3-3.5%推奨説あり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B74D"/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6" customWidth="1" min="3" max="3"/>
    <col width="14" customWidth="1" min="4" max="4"/>
    <col width="4" customWidth="1" min="5" max="5"/>
    <col width="36" customWidth="1" min="6" max="6"/>
  </cols>
  <sheetData>
    <row r="1" ht="36" customHeight="1">
      <c r="A1" s="1" t="inlineStr">
        <is>
          <t>🐪</t>
        </is>
      </c>
      <c r="B1" s="2" t="inlineStr">
        <is>
          <t>生活費｜月の家計内訳</t>
        </is>
      </c>
    </row>
    <row r="2">
      <c r="B2" s="3" t="inlineStr">
        <is>
          <t>🟡黄色セルに金額入力 → 合計が『入力』シートに自動反映 / 右に万円表示</t>
        </is>
      </c>
    </row>
    <row r="4" ht="24" customHeight="1">
      <c r="A4" s="7" t="inlineStr">
        <is>
          <t>📌 今の月の生活費（現在）</t>
        </is>
      </c>
      <c r="B4" s="8" t="n"/>
      <c r="C4" s="8" t="n"/>
      <c r="D4" s="8" t="n"/>
      <c r="E4" s="8" t="n"/>
      <c r="F4" s="8" t="n"/>
    </row>
    <row r="5">
      <c r="B5" s="9" t="inlineStr">
        <is>
          <t>項目</t>
        </is>
      </c>
      <c r="C5" s="9" t="inlineStr">
        <is>
          <t>月額</t>
        </is>
      </c>
      <c r="D5" s="9" t="inlineStr">
        <is>
          <t>万円表示</t>
        </is>
      </c>
      <c r="F5" s="9" t="inlineStr">
        <is>
          <t>備考</t>
        </is>
      </c>
    </row>
    <row r="6">
      <c r="B6" s="10" t="inlineStr">
        <is>
          <t>住居費</t>
        </is>
      </c>
      <c r="C6" s="11" t="n">
        <v>90000</v>
      </c>
      <c r="D6" s="12">
        <f>IF(NOT(ISNUMBER(C6)),"",IF(ABS(C6)&gt;=100000000,TEXT(INT(C6/100000000),"0")&amp;"億"&amp;IF(MOD(C6,100000000)&gt;=10000,TEXT(ROUND(MOD(C6,100000000)/10000,0),"#,##0")&amp;"万円","円"),IF(ABS(C6)&gt;=10000,TEXT(ROUND(C6/10000,0),"#,##0")&amp;"万円",TEXT(C6,"#,##0")&amp;"円")))</f>
        <v/>
      </c>
      <c r="F6" s="13" t="inlineStr">
        <is>
          <t>家賃・住宅ローン・管理費</t>
        </is>
      </c>
    </row>
    <row r="7">
      <c r="B7" s="10" t="inlineStr">
        <is>
          <t>食費</t>
        </is>
      </c>
      <c r="C7" s="11" t="n">
        <v>80000</v>
      </c>
      <c r="D7" s="12">
        <f>IF(NOT(ISNUMBER(C7)),"",IF(ABS(C7)&gt;=100000000,TEXT(INT(C7/100000000),"0")&amp;"億"&amp;IF(MOD(C7,100000000)&gt;=10000,TEXT(ROUND(MOD(C7,100000000)/10000,0),"#,##0")&amp;"万円","円"),IF(ABS(C7)&gt;=10000,TEXT(ROUND(C7/10000,0),"#,##0")&amp;"万円",TEXT(C7,"#,##0")&amp;"円")))</f>
        <v/>
      </c>
      <c r="F7" s="13" t="inlineStr">
        <is>
          <t>自炊中心＋外食少し</t>
        </is>
      </c>
    </row>
    <row r="8">
      <c r="B8" s="10" t="inlineStr">
        <is>
          <t>水道光熱費</t>
        </is>
      </c>
      <c r="C8" s="11" t="n">
        <v>22000</v>
      </c>
      <c r="D8" s="12">
        <f>IF(NOT(ISNUMBER(C8)),"",IF(ABS(C8)&gt;=100000000,TEXT(INT(C8/100000000),"0")&amp;"億"&amp;IF(MOD(C8,100000000)&gt;=10000,TEXT(ROUND(MOD(C8,100000000)/10000,0),"#,##0")&amp;"万円","円"),IF(ABS(C8)&gt;=10000,TEXT(ROUND(C8/10000,0),"#,##0")&amp;"万円",TEXT(C8,"#,##0")&amp;"円")))</f>
        <v/>
      </c>
      <c r="F8" s="13" t="inlineStr">
        <is>
          <t>電気・ガス・水道</t>
        </is>
      </c>
    </row>
    <row r="9">
      <c r="B9" s="10" t="inlineStr">
        <is>
          <t>通信費</t>
        </is>
      </c>
      <c r="C9" s="11" t="n">
        <v>18000</v>
      </c>
      <c r="D9" s="12">
        <f>IF(NOT(ISNUMBER(C9)),"",IF(ABS(C9)&gt;=100000000,TEXT(INT(C9/100000000),"0")&amp;"億"&amp;IF(MOD(C9,100000000)&gt;=10000,TEXT(ROUND(MOD(C9,100000000)/10000,0),"#,##0")&amp;"万円","円"),IF(ABS(C9)&gt;=10000,TEXT(ROUND(C9/10000,0),"#,##0")&amp;"万円",TEXT(C9,"#,##0")&amp;"円")))</f>
        <v/>
      </c>
      <c r="F9" s="13" t="inlineStr">
        <is>
          <t>スマホ＋ネット</t>
        </is>
      </c>
    </row>
    <row r="10">
      <c r="B10" s="10" t="inlineStr">
        <is>
          <t>日用品</t>
        </is>
      </c>
      <c r="C10" s="11" t="n">
        <v>12000</v>
      </c>
      <c r="D10" s="12">
        <f>IF(NOT(ISNUMBER(C10)),"",IF(ABS(C10)&gt;=100000000,TEXT(INT(C10/100000000),"0")&amp;"億"&amp;IF(MOD(C10,100000000)&gt;=10000,TEXT(ROUND(MOD(C10,100000000)/10000,0),"#,##0")&amp;"万円","円"),IF(ABS(C10)&gt;=10000,TEXT(ROUND(C10/10000,0),"#,##0")&amp;"万円",TEXT(C10,"#,##0")&amp;"円")))</f>
        <v/>
      </c>
      <c r="F10" s="13" t="inlineStr">
        <is>
          <t>消耗品・雑貨</t>
        </is>
      </c>
    </row>
    <row r="11">
      <c r="B11" s="10" t="inlineStr">
        <is>
          <t>交通費</t>
        </is>
      </c>
      <c r="C11" s="11" t="n">
        <v>20000</v>
      </c>
      <c r="D11" s="12">
        <f>IF(NOT(ISNUMBER(C11)),"",IF(ABS(C11)&gt;=100000000,TEXT(INT(C11/100000000),"0")&amp;"億"&amp;IF(MOD(C11,100000000)&gt;=10000,TEXT(ROUND(MOD(C11,100000000)/10000,0),"#,##0")&amp;"万円","円"),IF(ABS(C11)&gt;=10000,TEXT(ROUND(C11/10000,0),"#,##0")&amp;"万円",TEXT(C11,"#,##0")&amp;"円")))</f>
        <v/>
      </c>
      <c r="F11" s="13" t="inlineStr">
        <is>
          <t>車・公共交通</t>
        </is>
      </c>
    </row>
    <row r="12">
      <c r="B12" s="10" t="inlineStr">
        <is>
          <t>医療・保険</t>
        </is>
      </c>
      <c r="C12" s="11" t="n">
        <v>15000</v>
      </c>
      <c r="D12" s="12">
        <f>IF(NOT(ISNUMBER(C12)),"",IF(ABS(C12)&gt;=100000000,TEXT(INT(C12/100000000),"0")&amp;"億"&amp;IF(MOD(C12,100000000)&gt;=10000,TEXT(ROUND(MOD(C12,100000000)/10000,0),"#,##0")&amp;"万円","円"),IF(ABS(C12)&gt;=10000,TEXT(ROUND(C12/10000,0),"#,##0")&amp;"万円",TEXT(C12,"#,##0")&amp;"円")))</f>
        <v/>
      </c>
      <c r="F12" s="13" t="inlineStr">
        <is>
          <t>医療費＋保険料</t>
        </is>
      </c>
    </row>
    <row r="13">
      <c r="B13" s="10" t="inlineStr">
        <is>
          <t>娯楽・交際費</t>
        </is>
      </c>
      <c r="C13" s="11" t="n">
        <v>25000</v>
      </c>
      <c r="D13" s="12">
        <f>IF(NOT(ISNUMBER(C13)),"",IF(ABS(C13)&gt;=100000000,TEXT(INT(C13/100000000),"0")&amp;"億"&amp;IF(MOD(C13,100000000)&gt;=10000,TEXT(ROUND(MOD(C13,100000000)/10000,0),"#,##0")&amp;"万円","円"),IF(ABS(C13)&gt;=10000,TEXT(ROUND(C13/10000,0),"#,##0")&amp;"万円",TEXT(C13,"#,##0")&amp;"円")))</f>
        <v/>
      </c>
      <c r="F13" s="13" t="inlineStr">
        <is>
          <t>レジャー・外食</t>
        </is>
      </c>
    </row>
    <row r="14">
      <c r="B14" s="10" t="inlineStr">
        <is>
          <t>社会保険料</t>
        </is>
      </c>
      <c r="C14" s="11" t="n">
        <v>40000</v>
      </c>
      <c r="D14" s="12">
        <f>IF(NOT(ISNUMBER(C14)),"",IF(ABS(C14)&gt;=100000000,TEXT(INT(C14/100000000),"0")&amp;"億"&amp;IF(MOD(C14,100000000)&gt;=10000,TEXT(ROUND(MOD(C14,100000000)/10000,0),"#,##0")&amp;"万円","円"),IF(ABS(C14)&gt;=10000,TEXT(ROUND(C14/10000,0),"#,##0")&amp;"万円",TEXT(C14,"#,##0")&amp;"円")))</f>
        <v/>
      </c>
      <c r="F14" s="13" t="inlineStr">
        <is>
          <t>国保・年金等</t>
        </is>
      </c>
    </row>
    <row r="15">
      <c r="B15" s="10" t="inlineStr">
        <is>
          <t>教育費</t>
        </is>
      </c>
      <c r="C15" s="11" t="n">
        <v>0</v>
      </c>
      <c r="D15" s="12">
        <f>IF(NOT(ISNUMBER(C15)),"",IF(ABS(C15)&gt;=100000000,TEXT(INT(C15/100000000),"0")&amp;"億"&amp;IF(MOD(C15,100000000)&gt;=10000,TEXT(ROUND(MOD(C15,100000000)/10000,0),"#,##0")&amp;"万円","円"),IF(ABS(C15)&gt;=10000,TEXT(ROUND(C15/10000,0),"#,##0")&amp;"万円",TEXT(C15,"#,##0")&amp;"円")))</f>
        <v/>
      </c>
      <c r="F15" s="13" t="inlineStr">
        <is>
          <t>子どもがいる場合のみ</t>
        </is>
      </c>
    </row>
    <row r="16">
      <c r="B16" s="10" t="inlineStr">
        <is>
          <t>その他</t>
        </is>
      </c>
      <c r="C16" s="11" t="n">
        <v>0</v>
      </c>
      <c r="D16" s="12">
        <f>IF(NOT(ISNUMBER(C16)),"",IF(ABS(C16)&gt;=100000000,TEXT(INT(C16/100000000),"0")&amp;"億"&amp;IF(MOD(C16,100000000)&gt;=10000,TEXT(ROUND(MOD(C16,100000000)/10000,0),"#,##0")&amp;"万円","円"),IF(ABS(C16)&gt;=10000,TEXT(ROUND(C16/10000,0),"#,##0")&amp;"万円",TEXT(C16,"#,##0")&amp;"円")))</f>
        <v/>
      </c>
      <c r="F16" s="13" t="inlineStr">
        <is>
          <t>雑費</t>
        </is>
      </c>
    </row>
    <row r="17" ht="28" customHeight="1">
      <c r="B17" s="14" t="inlineStr">
        <is>
          <t>🔢 合計（月）</t>
        </is>
      </c>
      <c r="C17" s="15">
        <f>SUM(C6:C16)</f>
        <v/>
      </c>
      <c r="D17" s="16">
        <f>IF(NOT(ISNUMBER(C17)),"",IF(ABS(C17)&gt;=100000000,TEXT(INT(C17/100000000),"0")&amp;"億"&amp;IF(MOD(C17,100000000)&gt;=10000,TEXT(ROUND(MOD(C17,100000000)/10000,0),"#,##0")&amp;"万円","円"),IF(ABS(C17)&gt;=10000,TEXT(ROUND(C17/10000,0),"#,##0")&amp;"万円",TEXT(C17,"#,##0")&amp;"円")))</f>
        <v/>
      </c>
      <c r="F17" s="17" t="inlineStr">
        <is>
          <t>← 『入力』シートに自動反映</t>
        </is>
      </c>
    </row>
    <row r="19" ht="24" customHeight="1">
      <c r="A19" s="7" t="inlineStr">
        <is>
          <t>📌 FIRE後の想定生活費（仕事減らした後）</t>
        </is>
      </c>
      <c r="B19" s="8" t="n"/>
      <c r="C19" s="8" t="n"/>
      <c r="D19" s="8" t="n"/>
      <c r="E19" s="8" t="n"/>
      <c r="F19" s="8" t="n"/>
    </row>
    <row r="20">
      <c r="B20" s="9" t="inlineStr">
        <is>
          <t>項目</t>
        </is>
      </c>
      <c r="C20" s="9" t="inlineStr">
        <is>
          <t>月額</t>
        </is>
      </c>
      <c r="D20" s="9" t="inlineStr">
        <is>
          <t>万円表示</t>
        </is>
      </c>
      <c r="F20" s="9" t="inlineStr">
        <is>
          <t>変化</t>
        </is>
      </c>
    </row>
    <row r="21">
      <c r="B21" s="10" t="inlineStr">
        <is>
          <t>住居費</t>
        </is>
      </c>
      <c r="C21" s="11" t="n">
        <v>90000</v>
      </c>
      <c r="D21" s="12">
        <f>IF(NOT(ISNUMBER(C21)),"",IF(ABS(C21)&gt;=100000000,TEXT(INT(C21/100000000),"0")&amp;"億"&amp;IF(MOD(C21,100000000)&gt;=10000,TEXT(ROUND(MOD(C21,100000000)/10000,0),"#,##0")&amp;"万円","円"),IF(ABS(C21)&gt;=10000,TEXT(ROUND(C21/10000,0),"#,##0")&amp;"万円",TEXT(C21,"#,##0")&amp;"円")))</f>
        <v/>
      </c>
      <c r="F21" s="13" t="inlineStr">
        <is>
          <t>ローン完済なら下がる</t>
        </is>
      </c>
    </row>
    <row r="22">
      <c r="B22" s="10" t="inlineStr">
        <is>
          <t>食費</t>
        </is>
      </c>
      <c r="C22" s="11" t="n">
        <v>70000</v>
      </c>
      <c r="D22" s="12">
        <f>IF(NOT(ISNUMBER(C22)),"",IF(ABS(C22)&gt;=100000000,TEXT(INT(C22/100000000),"0")&amp;"億"&amp;IF(MOD(C22,100000000)&gt;=10000,TEXT(ROUND(MOD(C22,100000000)/10000,0),"#,##0")&amp;"万円","円"),IF(ABS(C22)&gt;=10000,TEXT(ROUND(C22/10000,0),"#,##0")&amp;"万円",TEXT(C22,"#,##0")&amp;"円")))</f>
        <v/>
      </c>
      <c r="F22" s="13" t="inlineStr">
        <is>
          <t>在宅で少し下がる</t>
        </is>
      </c>
    </row>
    <row r="23">
      <c r="B23" s="10" t="inlineStr">
        <is>
          <t>水道光熱費</t>
        </is>
      </c>
      <c r="C23" s="11" t="n">
        <v>25000</v>
      </c>
      <c r="D23" s="12">
        <f>IF(NOT(ISNUMBER(C23)),"",IF(ABS(C23)&gt;=100000000,TEXT(INT(C23/100000000),"0")&amp;"億"&amp;IF(MOD(C23,100000000)&gt;=10000,TEXT(ROUND(MOD(C23,100000000)/10000,0),"#,##0")&amp;"万円","円"),IF(ABS(C23)&gt;=10000,TEXT(ROUND(C23/10000,0),"#,##0")&amp;"万円",TEXT(C23,"#,##0")&amp;"円")))</f>
        <v/>
      </c>
      <c r="F23" s="13" t="inlineStr">
        <is>
          <t>在宅で少し上がる</t>
        </is>
      </c>
    </row>
    <row r="24">
      <c r="B24" s="10" t="inlineStr">
        <is>
          <t>通信費</t>
        </is>
      </c>
      <c r="C24" s="11" t="n">
        <v>18000</v>
      </c>
      <c r="D24" s="12">
        <f>IF(NOT(ISNUMBER(C24)),"",IF(ABS(C24)&gt;=100000000,TEXT(INT(C24/100000000),"0")&amp;"億"&amp;IF(MOD(C24,100000000)&gt;=10000,TEXT(ROUND(MOD(C24,100000000)/10000,0),"#,##0")&amp;"万円","円"),IF(ABS(C24)&gt;=10000,TEXT(ROUND(C24/10000,0),"#,##0")&amp;"万円",TEXT(C24,"#,##0")&amp;"円")))</f>
        <v/>
      </c>
      <c r="F24" s="13" t="inlineStr">
        <is>
          <t>変わらず</t>
        </is>
      </c>
    </row>
    <row r="25">
      <c r="B25" s="10" t="inlineStr">
        <is>
          <t>日用品</t>
        </is>
      </c>
      <c r="C25" s="11" t="n">
        <v>12000</v>
      </c>
      <c r="D25" s="12">
        <f>IF(NOT(ISNUMBER(C25)),"",IF(ABS(C25)&gt;=100000000,TEXT(INT(C25/100000000),"0")&amp;"億"&amp;IF(MOD(C25,100000000)&gt;=10000,TEXT(ROUND(MOD(C25,100000000)/10000,0),"#,##0")&amp;"万円","円"),IF(ABS(C25)&gt;=10000,TEXT(ROUND(C25/10000,0),"#,##0")&amp;"万円",TEXT(C25,"#,##0")&amp;"円")))</f>
        <v/>
      </c>
      <c r="F25" s="13" t="inlineStr">
        <is>
          <t>変わらず</t>
        </is>
      </c>
    </row>
    <row r="26">
      <c r="B26" s="10" t="inlineStr">
        <is>
          <t>交通費</t>
        </is>
      </c>
      <c r="C26" s="11" t="n">
        <v>15000</v>
      </c>
      <c r="D26" s="12">
        <f>IF(NOT(ISNUMBER(C26)),"",IF(ABS(C26)&gt;=100000000,TEXT(INT(C26/100000000),"0")&amp;"億"&amp;IF(MOD(C26,100000000)&gt;=10000,TEXT(ROUND(MOD(C26,100000000)/10000,0),"#,##0")&amp;"万円","円"),IF(ABS(C26)&gt;=10000,TEXT(ROUND(C26/10000,0),"#,##0")&amp;"万円",TEXT(C26,"#,##0")&amp;"円")))</f>
        <v/>
      </c>
      <c r="F26" s="13" t="inlineStr">
        <is>
          <t>通勤費減</t>
        </is>
      </c>
    </row>
    <row r="27">
      <c r="B27" s="10" t="inlineStr">
        <is>
          <t>医療・保険</t>
        </is>
      </c>
      <c r="C27" s="11" t="n">
        <v>30000</v>
      </c>
      <c r="D27" s="12">
        <f>IF(NOT(ISNUMBER(C27)),"",IF(ABS(C27)&gt;=100000000,TEXT(INT(C27/100000000),"0")&amp;"億"&amp;IF(MOD(C27,100000000)&gt;=10000,TEXT(ROUND(MOD(C27,100000000)/10000,0),"#,##0")&amp;"万円","円"),IF(ABS(C27)&gt;=10000,TEXT(ROUND(C27/10000,0),"#,##0")&amp;"万円",TEXT(C27,"#,##0")&amp;"円")))</f>
        <v/>
      </c>
      <c r="F27" s="13" t="inlineStr">
        <is>
          <t>国保＋年齢上昇</t>
        </is>
      </c>
    </row>
    <row r="28">
      <c r="B28" s="10" t="inlineStr">
        <is>
          <t>娯楽・交際費</t>
        </is>
      </c>
      <c r="C28" s="11" t="n">
        <v>35000</v>
      </c>
      <c r="D28" s="12">
        <f>IF(NOT(ISNUMBER(C28)),"",IF(ABS(C28)&gt;=100000000,TEXT(INT(C28/100000000),"0")&amp;"億"&amp;IF(MOD(C28,100000000)&gt;=10000,TEXT(ROUND(MOD(C28,100000000)/10000,0),"#,##0")&amp;"万円","円"),IF(ABS(C28)&gt;=10000,TEXT(ROUND(C28/10000,0),"#,##0")&amp;"万円",TEXT(C28,"#,##0")&amp;"円")))</f>
        <v/>
      </c>
      <c r="F28" s="13" t="inlineStr">
        <is>
          <t>時間できて増える</t>
        </is>
      </c>
    </row>
    <row r="29">
      <c r="B29" s="10" t="inlineStr">
        <is>
          <t>社会保険料</t>
        </is>
      </c>
      <c r="C29" s="11" t="n">
        <v>0</v>
      </c>
      <c r="D29" s="12">
        <f>IF(NOT(ISNUMBER(C29)),"",IF(ABS(C29)&gt;=100000000,TEXT(INT(C29/100000000),"0")&amp;"億"&amp;IF(MOD(C29,100000000)&gt;=10000,TEXT(ROUND(MOD(C29,100000000)/10000,0),"#,##0")&amp;"万円","円"),IF(ABS(C29)&gt;=10000,TEXT(ROUND(C29/10000,0),"#,##0")&amp;"万円",TEXT(C29,"#,##0")&amp;"円")))</f>
        <v/>
      </c>
      <c r="F29" s="13" t="inlineStr">
        <is>
          <t>副業のみなら大幅減</t>
        </is>
      </c>
    </row>
    <row r="30">
      <c r="B30" s="10" t="inlineStr">
        <is>
          <t>教育費</t>
        </is>
      </c>
      <c r="C30" s="11" t="n">
        <v>30000</v>
      </c>
      <c r="D30" s="12">
        <f>IF(NOT(ISNUMBER(C30)),"",IF(ABS(C30)&gt;=100000000,TEXT(INT(C30/100000000),"0")&amp;"億"&amp;IF(MOD(C30,100000000)&gt;=10000,TEXT(ROUND(MOD(C30,100000000)/10000,0),"#,##0")&amp;"万円","円"),IF(ABS(C30)&gt;=10000,TEXT(ROUND(C30/10000,0),"#,##0")&amp;"万円",TEXT(C30,"#,##0")&amp;"円")))</f>
        <v/>
      </c>
      <c r="F30" s="13" t="inlineStr">
        <is>
          <t>子供想定（任意）</t>
        </is>
      </c>
    </row>
    <row r="31">
      <c r="B31" s="10" t="inlineStr">
        <is>
          <t>その他</t>
        </is>
      </c>
      <c r="C31" s="11" t="n">
        <v>5000</v>
      </c>
      <c r="D31" s="12">
        <f>IF(NOT(ISNUMBER(C31)),"",IF(ABS(C31)&gt;=100000000,TEXT(INT(C31/100000000),"0")&amp;"億"&amp;IF(MOD(C31,100000000)&gt;=10000,TEXT(ROUND(MOD(C31,100000000)/10000,0),"#,##0")&amp;"万円","円"),IF(ABS(C31)&gt;=10000,TEXT(ROUND(C31/10000,0),"#,##0")&amp;"万円",TEXT(C31,"#,##0")&amp;"円")))</f>
        <v/>
      </c>
      <c r="F31" s="13" t="inlineStr">
        <is>
          <t>趣味等</t>
        </is>
      </c>
    </row>
    <row r="32" ht="28" customHeight="1">
      <c r="B32" s="14" t="inlineStr">
        <is>
          <t>🔢 FIRE後合計（月）</t>
        </is>
      </c>
      <c r="C32" s="15">
        <f>SUM(C21:C31)</f>
        <v/>
      </c>
      <c r="D32" s="16">
        <f>IF(NOT(ISNUMBER(C32)),"",IF(ABS(C32)&gt;=100000000,TEXT(INT(C32/100000000),"0")&amp;"億"&amp;IF(MOD(C32,100000000)&gt;=10000,TEXT(ROUND(MOD(C32,100000000)/10000,0),"#,##0")&amp;"万円","円"),IF(ABS(C32)&gt;=10000,TEXT(ROUND(C32/10000,0),"#,##0")&amp;"万円",TEXT(C32,"#,##0")&amp;"円")))</f>
        <v/>
      </c>
      <c r="F32" s="17" t="inlineStr">
        <is>
          <t>← 『入力』シートに自動反映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F59D"/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8" customWidth="1" min="4" max="4"/>
    <col width="40" customWidth="1" min="5" max="5"/>
    <col width="4" customWidth="1" min="6" max="6"/>
  </cols>
  <sheetData>
    <row r="1" ht="36" customHeight="1">
      <c r="A1" s="1" t="inlineStr">
        <is>
          <t>🐪</t>
        </is>
      </c>
      <c r="B1" s="2" t="inlineStr">
        <is>
          <t>入力｜🟡黄色セルだけ書き換える</t>
        </is>
      </c>
    </row>
    <row r="2">
      <c r="B2" s="3" t="inlineStr">
        <is>
          <t>全11項目・5分で埋まる / 値の右に万円表示</t>
        </is>
      </c>
    </row>
    <row r="4" ht="24" customHeight="1">
      <c r="A4" s="7" t="inlineStr">
        <is>
          <t>👤 基本情報</t>
        </is>
      </c>
      <c r="B4" s="8" t="n"/>
      <c r="C4" s="8" t="n"/>
      <c r="D4" s="8" t="n"/>
      <c r="E4" s="8" t="n"/>
      <c r="F4" s="8" t="n"/>
    </row>
    <row r="5">
      <c r="B5" s="18" t="inlineStr">
        <is>
          <t>現在年齢</t>
        </is>
      </c>
      <c r="C5" s="19" t="n">
        <v>27</v>
      </c>
      <c r="E5" s="20" t="inlineStr">
        <is>
          <t>(夫婦のうち年上の方)</t>
        </is>
      </c>
    </row>
    <row r="6">
      <c r="B6" s="18" t="inlineStr">
        <is>
          <t>目標 FIRE 年齢</t>
        </is>
      </c>
      <c r="C6" s="19" t="n">
        <v>45</v>
      </c>
      <c r="E6" s="20" t="inlineStr">
        <is>
          <t>(何歳でセミリタイア？)</t>
        </is>
      </c>
    </row>
    <row r="8" ht="24" customHeight="1">
      <c r="A8" s="7" t="inlineStr">
        <is>
          <t>💰 夫婦の月収入</t>
        </is>
      </c>
      <c r="B8" s="8" t="n"/>
      <c r="C8" s="8" t="n"/>
      <c r="D8" s="8" t="n"/>
      <c r="E8" s="8" t="n"/>
      <c r="F8" s="8" t="n"/>
    </row>
    <row r="9">
      <c r="B9" s="18" t="inlineStr">
        <is>
          <t>夫婦の月手取り合計</t>
        </is>
      </c>
      <c r="C9" s="21" t="n">
        <v>450000</v>
      </c>
      <c r="D9" s="12">
        <f>IF(NOT(ISNUMBER(C9)),"",IF(ABS(C9)&gt;=100000000,TEXT(INT(C9/100000000),"0")&amp;"億"&amp;IF(MOD(C9,100000000)&gt;=10000,TEXT(ROUND(MOD(C9,100000000)/10000,0),"#,##0")&amp;"万円","円"),IF(ABS(C9)&gt;=10000,TEXT(ROUND(C9/10000,0),"#,##0")&amp;"万円",TEXT(C9,"#,##0")&amp;"円")))</f>
        <v/>
      </c>
      <c r="E9" s="20" t="inlineStr">
        <is>
          <t>(2人の手取り合計)</t>
        </is>
      </c>
    </row>
    <row r="10">
      <c r="B10" s="18" t="inlineStr">
        <is>
          <t>夫婦のボーナス年合計</t>
        </is>
      </c>
      <c r="C10" s="21" t="n">
        <v>1600000</v>
      </c>
      <c r="D10" s="12">
        <f>IF(NOT(ISNUMBER(C10)),"",IF(ABS(C10)&gt;=100000000,TEXT(INT(C10/100000000),"0")&amp;"億"&amp;IF(MOD(C10,100000000)&gt;=10000,TEXT(ROUND(MOD(C10,100000000)/10000,0),"#,##0")&amp;"万円","円"),IF(ABS(C10)&gt;=10000,TEXT(ROUND(C10/10000,0),"#,##0")&amp;"万円",TEXT(C10,"#,##0")&amp;"円")))</f>
        <v/>
      </c>
      <c r="E10" s="20" t="inlineStr">
        <is>
          <t>(2人の年ボーナス手取り合計)</t>
        </is>
      </c>
    </row>
    <row r="11">
      <c r="B11" s="10" t="inlineStr">
        <is>
          <t>🔢 年手取り合計</t>
        </is>
      </c>
      <c r="C11" s="22">
        <f>C9*12+C10</f>
        <v/>
      </c>
      <c r="D11" s="12">
        <f>IF(NOT(ISNUMBER(C11)),"",IF(ABS(C11)&gt;=100000000,TEXT(INT(C11/100000000),"0")&amp;"億"&amp;IF(MOD(C11,100000000)&gt;=10000,TEXT(ROUND(MOD(C11,100000000)/10000,0),"#,##0")&amp;"万円","円"),IF(ABS(C11)&gt;=10000,TEXT(ROUND(C11/10000,0),"#,##0")&amp;"万円",TEXT(C11,"#,##0")&amp;"円")))</f>
        <v/>
      </c>
      <c r="E11" s="6" t="inlineStr">
        <is>
          <t>(自動)</t>
        </is>
      </c>
    </row>
    <row r="13" ht="24" customHeight="1">
      <c r="A13" s="7" t="inlineStr">
        <is>
          <t>💸 月の生活費（『生活費』シートから自動反映）</t>
        </is>
      </c>
      <c r="B13" s="8" t="n"/>
      <c r="C13" s="8" t="n"/>
      <c r="D13" s="8" t="n"/>
      <c r="E13" s="8" t="n"/>
      <c r="F13" s="8" t="n"/>
    </row>
    <row r="14">
      <c r="B14" s="10" t="inlineStr">
        <is>
          <t>月生活費（現在）</t>
        </is>
      </c>
      <c r="C14" s="22">
        <f>生活費!C17</f>
        <v/>
      </c>
      <c r="D14" s="12">
        <f>IF(NOT(ISNUMBER(C14)),"",IF(ABS(C14)&gt;=100000000,TEXT(INT(C14/100000000),"0")&amp;"億"&amp;IF(MOD(C14,100000000)&gt;=10000,TEXT(ROUND(MOD(C14,100000000)/10000,0),"#,##0")&amp;"万円","円"),IF(ABS(C14)&gt;=10000,TEXT(ROUND(C14/10000,0),"#,##0")&amp;"万円",TEXT(C14,"#,##0")&amp;"円")))</f>
        <v/>
      </c>
      <c r="E14" s="6" t="inlineStr">
        <is>
          <t>← 編集は『生活費』シートで</t>
        </is>
      </c>
    </row>
    <row r="15">
      <c r="B15" s="10" t="inlineStr">
        <is>
          <t>🔢 月貯蓄可能額</t>
        </is>
      </c>
      <c r="C15" s="22">
        <f>C9-C14</f>
        <v/>
      </c>
      <c r="D15" s="12">
        <f>IF(NOT(ISNUMBER(C15)),"",IF(ABS(C15)&gt;=100000000,TEXT(INT(C15/100000000),"0")&amp;"億"&amp;IF(MOD(C15,100000000)&gt;=10000,TEXT(ROUND(MOD(C15,100000000)/10000,0),"#,##0")&amp;"万円","円"),IF(ABS(C15)&gt;=10000,TEXT(ROUND(C15/10000,0),"#,##0")&amp;"万円",TEXT(C15,"#,##0")&amp;"円")))</f>
        <v/>
      </c>
      <c r="E15" s="6" t="inlineStr">
        <is>
          <t>(月収 − 月生活費)</t>
        </is>
      </c>
    </row>
    <row r="16">
      <c r="B16" s="10" t="inlineStr">
        <is>
          <t>🔢 年貯蓄可能額（ボーナス込）</t>
        </is>
      </c>
      <c r="C16" s="22">
        <f>C15*12+C10</f>
        <v/>
      </c>
      <c r="D16" s="12">
        <f>IF(NOT(ISNUMBER(C16)),"",IF(ABS(C16)&gt;=100000000,TEXT(INT(C16/100000000),"0")&amp;"億"&amp;IF(MOD(C16,100000000)&gt;=10000,TEXT(ROUND(MOD(C16,100000000)/10000,0),"#,##0")&amp;"万円","円"),IF(ABS(C16)&gt;=10000,TEXT(ROUND(C16/10000,0),"#,##0")&amp;"万円",TEXT(C16,"#,##0")&amp;"円")))</f>
        <v/>
      </c>
    </row>
    <row r="18" ht="24" customHeight="1">
      <c r="A18" s="7" t="inlineStr">
        <is>
          <t>🏦 今ある資産（貯金と運用を分けて入力）</t>
        </is>
      </c>
      <c r="B18" s="8" t="n"/>
      <c r="C18" s="8" t="n"/>
      <c r="D18" s="8" t="n"/>
      <c r="E18" s="8" t="n"/>
      <c r="F18" s="8" t="n"/>
    </row>
    <row r="19">
      <c r="B19" s="23" t="inlineStr">
        <is>
          <t>現在の貯金（現金・利率0%）</t>
        </is>
      </c>
      <c r="C19" s="24" t="n">
        <v>500000</v>
      </c>
      <c r="D19" s="12">
        <f>IF(NOT(ISNUMBER(C19)),"",IF(ABS(C19)&gt;=100000000,TEXT(INT(C19/100000000),"0")&amp;"億"&amp;IF(MOD(C19,100000000)&gt;=10000,TEXT(ROUND(MOD(C19,100000000)/10000,0),"#,##0")&amp;"万円","円"),IF(ABS(C19)&gt;=10000,TEXT(ROUND(C19/10000,0),"#,##0")&amp;"万円",TEXT(C19,"#,##0")&amp;"円")))</f>
        <v/>
      </c>
      <c r="E19" s="20" t="inlineStr">
        <is>
          <t>(銀行預金など)</t>
        </is>
      </c>
    </row>
    <row r="20">
      <c r="B20" s="25" t="inlineStr">
        <is>
          <t>現在の運用資産（投資中・年利で成長）</t>
        </is>
      </c>
      <c r="C20" s="26" t="n">
        <v>1500000</v>
      </c>
      <c r="D20" s="12">
        <f>IF(NOT(ISNUMBER(C20)),"",IF(ABS(C20)&gt;=100000000,TEXT(INT(C20/100000000),"0")&amp;"億"&amp;IF(MOD(C20,100000000)&gt;=10000,TEXT(ROUND(MOD(C20,100000000)/10000,0),"#,##0")&amp;"万円","円"),IF(ABS(C20)&gt;=10000,TEXT(ROUND(C20/10000,0),"#,##0")&amp;"万円",TEXT(C20,"#,##0")&amp;"円")))</f>
        <v/>
      </c>
      <c r="E20" s="20" t="inlineStr">
        <is>
          <t>(NISA・iDeCo等の投信)</t>
        </is>
      </c>
    </row>
    <row r="21">
      <c r="B21" s="10" t="inlineStr">
        <is>
          <t>🔢 総資産（現在）</t>
        </is>
      </c>
      <c r="C21" s="22">
        <f>C19+C20</f>
        <v/>
      </c>
      <c r="D21" s="12">
        <f>IF(NOT(ISNUMBER(C21)),"",IF(ABS(C21)&gt;=100000000,TEXT(INT(C21/100000000),"0")&amp;"億"&amp;IF(MOD(C21,100000000)&gt;=10000,TEXT(ROUND(MOD(C21,100000000)/10000,0),"#,##0")&amp;"万円","円"),IF(ABS(C21)&gt;=10000,TEXT(ROUND(C21/10000,0),"#,##0")&amp;"万円",TEXT(C21,"#,##0")&amp;"円")))</f>
        <v/>
      </c>
    </row>
    <row r="23" ht="24" customHeight="1">
      <c r="A23" s="7" t="inlineStr">
        <is>
          <t>📈 投資設定</t>
        </is>
      </c>
      <c r="B23" s="8" t="n"/>
      <c r="C23" s="8" t="n"/>
      <c r="D23" s="8" t="n"/>
      <c r="E23" s="8" t="n"/>
      <c r="F23" s="8" t="n"/>
    </row>
    <row r="24">
      <c r="B24" s="18" t="inlineStr">
        <is>
          <t>月積立額（投資への積立）</t>
        </is>
      </c>
      <c r="C24" s="21" t="n">
        <v>150000</v>
      </c>
      <c r="D24" s="12">
        <f>IF(NOT(ISNUMBER(C24)),"",IF(ABS(C24)&gt;=100000000,TEXT(INT(C24/100000000),"0")&amp;"億"&amp;IF(MOD(C24,100000000)&gt;=10000,TEXT(ROUND(MOD(C24,100000000)/10000,0),"#,##0")&amp;"万円","円"),IF(ABS(C24)&gt;=10000,TEXT(ROUND(C24/10000,0),"#,##0")&amp;"万円",TEXT(C24,"#,##0")&amp;"円")))</f>
        <v/>
      </c>
      <c r="E24" s="20" t="inlineStr">
        <is>
          <t>(NISA+iDeCo合計)</t>
        </is>
      </c>
    </row>
    <row r="25">
      <c r="B25" s="18" t="inlineStr">
        <is>
          <t>想定年利</t>
        </is>
      </c>
      <c r="C25" s="27" t="n">
        <v>0.05</v>
      </c>
      <c r="E25" s="20" t="inlineStr">
        <is>
          <t>(オルカン+SP500で5-6%)</t>
        </is>
      </c>
    </row>
    <row r="27" ht="24" customHeight="1">
      <c r="A27" s="7" t="inlineStr">
        <is>
          <t>🎯 サイドFIRE後の想定</t>
        </is>
      </c>
      <c r="B27" s="8" t="n"/>
      <c r="C27" s="8" t="n"/>
      <c r="D27" s="8" t="n"/>
      <c r="E27" s="8" t="n"/>
      <c r="F27" s="8" t="n"/>
    </row>
    <row r="28">
      <c r="B28" s="10" t="inlineStr">
        <is>
          <t>FIRE後の月生活費（『生活費』シート参照）</t>
        </is>
      </c>
      <c r="C28" s="22">
        <f>生活費!C32</f>
        <v/>
      </c>
      <c r="D28" s="12">
        <f>IF(NOT(ISNUMBER(C28)),"",IF(ABS(C28)&gt;=100000000,TEXT(INT(C28/100000000),"0")&amp;"億"&amp;IF(MOD(C28,100000000)&gt;=10000,TEXT(ROUND(MOD(C28,100000000)/10000,0),"#,##0")&amp;"万円","円"),IF(ABS(C28)&gt;=10000,TEXT(ROUND(C28/10000,0),"#,##0")&amp;"万円",TEXT(C28,"#,##0")&amp;"円")))</f>
        <v/>
      </c>
      <c r="E28" s="6" t="inlineStr">
        <is>
          <t>← 編集は『生活費』シートで</t>
        </is>
      </c>
    </row>
    <row r="29">
      <c r="B29" s="18" t="inlineStr">
        <is>
          <t>FIRE後の月副業収入</t>
        </is>
      </c>
      <c r="C29" s="21" t="n">
        <v>100000</v>
      </c>
      <c r="D29" s="12">
        <f>IF(NOT(ISNUMBER(C29)),"",IF(ABS(C29)&gt;=100000000,TEXT(INT(C29/100000000),"0")&amp;"億"&amp;IF(MOD(C29,100000000)&gt;=10000,TEXT(ROUND(MOD(C29,100000000)/10000,0),"#,##0")&amp;"万円","円"),IF(ABS(C29)&gt;=10000,TEXT(ROUND(C29/10000,0),"#,##0")&amp;"万円",TEXT(C29,"#,##0")&amp;"円")))</f>
        <v/>
      </c>
      <c r="E29" s="20" t="inlineStr">
        <is>
          <t>(緩い労働で稼ぐ分)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5D6A7"/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0" customWidth="1" min="3" max="3"/>
    <col width="18" customWidth="1" min="4" max="4"/>
    <col width="26" customWidth="1" min="5" max="5"/>
    <col width="4" customWidth="1" min="6" max="6"/>
  </cols>
  <sheetData>
    <row r="1" ht="36" customHeight="1">
      <c r="A1" s="1" t="inlineStr">
        <is>
          <t>🐪</t>
        </is>
      </c>
      <c r="B1" s="2" t="inlineStr">
        <is>
          <t>🎯 結論｜あなたのサイドFIRE達成診断</t>
        </is>
      </c>
    </row>
    <row r="2">
      <c r="B2" s="3" t="inlineStr">
        <is>
          <t>上から順に読むだけで全部わかる / 値の右に万円表示</t>
        </is>
      </c>
    </row>
    <row r="4" ht="32" customHeight="1">
      <c r="B4" s="28" t="inlineStr">
        <is>
          <t>🎉 サイドFIRE 達成可否</t>
        </is>
      </c>
      <c r="C4" s="29" t="n"/>
      <c r="D4" s="29" t="n"/>
      <c r="E4" s="29" t="n"/>
    </row>
    <row r="5" ht="60" customHeight="1">
      <c r="B5" s="30">
        <f>IF(C17&gt;=C11,"✓ 達成見込み！おめでとう🐪","✗ 達成にあと一歩")</f>
        <v/>
      </c>
    </row>
    <row r="7" ht="24" customHeight="1">
      <c r="A7" s="7" t="inlineStr">
        <is>
          <t>Step 1: 必要な総資産を計算（4%ルール）</t>
        </is>
      </c>
      <c r="B7" s="8" t="n"/>
      <c r="C7" s="8" t="n"/>
      <c r="D7" s="8" t="n"/>
      <c r="E7" s="8" t="n"/>
      <c r="F7" s="8" t="n"/>
    </row>
    <row r="8">
      <c r="B8" s="10" t="inlineStr">
        <is>
          <t>FIRE後の年生活費</t>
        </is>
      </c>
      <c r="C8" s="22">
        <f>入力!$C$28*12</f>
        <v/>
      </c>
      <c r="D8" s="12">
        <f>IF(NOT(ISNUMBER(C8)),"",IF(ABS(C8)&gt;=100000000,TEXT(INT(C8/100000000),"0")&amp;"億"&amp;IF(MOD(C8,100000000)&gt;=10000,TEXT(ROUND(MOD(C8,100000000)/10000,0),"#,##0")&amp;"万円","円"),IF(ABS(C8)&gt;=10000,TEXT(ROUND(C8/10000,0),"#,##0")&amp;"万円",TEXT(C8,"#,##0")&amp;"円")))</f>
        <v/>
      </c>
    </row>
    <row r="9">
      <c r="B9" s="10" t="inlineStr">
        <is>
          <t>FIRE後の年副業収入</t>
        </is>
      </c>
      <c r="C9" s="22">
        <f>入力!$C$29*12</f>
        <v/>
      </c>
      <c r="D9" s="12">
        <f>IF(NOT(ISNUMBER(C9)),"",IF(ABS(C9)&gt;=100000000,TEXT(INT(C9/100000000),"0")&amp;"億"&amp;IF(MOD(C9,100000000)&gt;=10000,TEXT(ROUND(MOD(C9,100000000)/10000,0),"#,##0")&amp;"万円","円"),IF(ABS(C9)&gt;=10000,TEXT(ROUND(C9/10000,0),"#,##0")&amp;"万円",TEXT(C9,"#,##0")&amp;"円")))</f>
        <v/>
      </c>
    </row>
    <row r="10">
      <c r="B10" s="10" t="inlineStr">
        <is>
          <t>資産取崩しが必要な年額</t>
        </is>
      </c>
      <c r="C10" s="22">
        <f>C8-C9</f>
        <v/>
      </c>
      <c r="D10" s="12">
        <f>IF(NOT(ISNUMBER(C10)),"",IF(ABS(C10)&gt;=100000000,TEXT(INT(C10/100000000),"0")&amp;"億"&amp;IF(MOD(C10,100000000)&gt;=10000,TEXT(ROUND(MOD(C10,100000000)/10000,0),"#,##0")&amp;"万円","円"),IF(ABS(C10)&gt;=10000,TEXT(ROUND(C10/10000,0),"#,##0")&amp;"万円",TEXT(C10,"#,##0")&amp;"円")))</f>
        <v/>
      </c>
      <c r="E10" s="6">
        <f> 年生活費 − 年副業</f>
        <v/>
      </c>
    </row>
    <row r="11" ht="28" customHeight="1">
      <c r="B11" s="31" t="inlineStr">
        <is>
          <t>💡 サイドFIRE 必要総資産</t>
        </is>
      </c>
      <c r="C11" s="15">
        <f>C10*25</f>
        <v/>
      </c>
      <c r="D11" s="32">
        <f>IF(NOT(ISNUMBER(C11)),"",IF(ABS(C11)&gt;=100000000,TEXT(INT(C11/100000000),"0")&amp;"億"&amp;IF(MOD(C11,100000000)&gt;=10000,TEXT(ROUND(MOD(C11,100000000)/10000,0),"#,##0")&amp;"万円","円"),IF(ABS(C11)&gt;=10000,TEXT(ROUND(C11/10000,0),"#,##0")&amp;"万円",TEXT(C11,"#,##0")&amp;"円")))</f>
        <v/>
      </c>
      <c r="E11" s="6" t="inlineStr">
        <is>
          <t>(年取崩額 × 25倍)</t>
        </is>
      </c>
    </row>
    <row r="13" ht="24" customHeight="1">
      <c r="A13" s="7" t="inlineStr">
        <is>
          <t>Step 2: 目標年齢時に達成できる資産</t>
        </is>
      </c>
      <c r="B13" s="8" t="n"/>
      <c r="C13" s="8" t="n"/>
      <c r="D13" s="8" t="n"/>
      <c r="E13" s="8" t="n"/>
      <c r="F13" s="8" t="n"/>
    </row>
    <row r="14">
      <c r="B14" s="10" t="inlineStr">
        <is>
          <t>目標FIREまでの年数</t>
        </is>
      </c>
      <c r="C14" s="33">
        <f>入力!$C$6-入力!$C$5</f>
        <v/>
      </c>
    </row>
    <row r="15">
      <c r="B15" s="10" t="inlineStr">
        <is>
          <t>💧 目標年齢時の貯金（現金・成長なし）</t>
        </is>
      </c>
      <c r="C15" s="34">
        <f>入力!$C$19</f>
        <v/>
      </c>
      <c r="D15" s="12">
        <f>IF(NOT(ISNUMBER(C15)),"",IF(ABS(C15)&gt;=100000000,TEXT(INT(C15/100000000),"0")&amp;"億"&amp;IF(MOD(C15,100000000)&gt;=10000,TEXT(ROUND(MOD(C15,100000000)/10000,0),"#,##0")&amp;"万円","円"),IF(ABS(C15)&gt;=10000,TEXT(ROUND(C15/10000,0),"#,##0")&amp;"万円",TEXT(C15,"#,##0")&amp;"円")))</f>
        <v/>
      </c>
      <c r="E15" s="6" t="inlineStr">
        <is>
          <t>(現金は複利成長しない前提)</t>
        </is>
      </c>
    </row>
    <row r="16">
      <c r="B16" s="10" t="inlineStr">
        <is>
          <t>📈 目標年齢時の運用資産（複利成長）</t>
        </is>
      </c>
      <c r="C16" s="35">
        <f>FV(入力!$C$25/12,C14*12,-入力!$C$24,-入力!$C$20)</f>
        <v/>
      </c>
      <c r="D16" s="12">
        <f>IF(NOT(ISNUMBER(C16)),"",IF(ABS(C16)&gt;=100000000,TEXT(INT(C16/100000000),"0")&amp;"億"&amp;IF(MOD(C16,100000000)&gt;=10000,TEXT(ROUND(MOD(C16,100000000)/10000,0),"#,##0")&amp;"万円","円"),IF(ABS(C16)&gt;=10000,TEXT(ROUND(C16/10000,0),"#,##0")&amp;"万円",TEXT(C16,"#,##0")&amp;"円")))</f>
        <v/>
      </c>
      <c r="E16" s="6" t="inlineStr">
        <is>
          <t>(月積立を続けた前提)</t>
        </is>
      </c>
    </row>
    <row r="17" ht="28" customHeight="1">
      <c r="B17" s="31" t="inlineStr">
        <is>
          <t>💰 目標年齢時の予想総資産</t>
        </is>
      </c>
      <c r="C17" s="15">
        <f>C15+C16</f>
        <v/>
      </c>
      <c r="D17" s="32">
        <f>IF(NOT(ISNUMBER(C17)),"",IF(ABS(C17)&gt;=100000000,TEXT(INT(C17/100000000),"0")&amp;"億"&amp;IF(MOD(C17,100000000)&gt;=10000,TEXT(ROUND(MOD(C17,100000000)/10000,0),"#,##0")&amp;"万円","円"),IF(ABS(C17)&gt;=10000,TEXT(ROUND(C17/10000,0),"#,##0")&amp;"万円",TEXT(C17,"#,##0")&amp;"円")))</f>
        <v/>
      </c>
    </row>
    <row r="19" ht="24" customHeight="1">
      <c r="A19" s="7" t="inlineStr">
        <is>
          <t>Step 3: 達成診断（数字で見る）</t>
        </is>
      </c>
      <c r="B19" s="8" t="n"/>
      <c r="C19" s="8" t="n"/>
      <c r="D19" s="8" t="n"/>
      <c r="E19" s="8" t="n"/>
      <c r="F19" s="8" t="n"/>
    </row>
    <row r="20" ht="28" customHeight="1">
      <c r="B20" s="31" t="inlineStr">
        <is>
          <t>📊 達成率</t>
        </is>
      </c>
      <c r="C20" s="36">
        <f>C17/C11</f>
        <v/>
      </c>
    </row>
    <row r="21" ht="28" customHeight="1">
      <c r="B21" s="31" t="inlineStr">
        <is>
          <t>📉 不足額（達成にあといくら必要？）</t>
        </is>
      </c>
      <c r="C21" s="15">
        <f>MAX(0,C11-C17)</f>
        <v/>
      </c>
      <c r="D21" s="32">
        <f>IF(NOT(ISNUMBER(C21)),"",IF(ABS(C21)&gt;=100000000,TEXT(INT(C21/100000000),"0")&amp;"億"&amp;IF(MOD(C21,100000000)&gt;=10000,TEXT(ROUND(MOD(C21,100000000)/10000,0),"#,##0")&amp;"万円","円"),IF(ABS(C21)&gt;=10000,TEXT(ROUND(C21/10000,0),"#,##0")&amp;"万円",TEXT(C21,"#,##0")&amp;"円")))</f>
        <v/>
      </c>
    </row>
    <row r="22" ht="28" customHeight="1">
      <c r="B22" s="31" t="inlineStr">
        <is>
          <t>📈 月積立をあといくら増やせば達成？</t>
        </is>
      </c>
      <c r="C22" s="15">
        <f>IFERROR(MAX(0,(PMT(入力!$C$25/12,C14*12,-入力!$C$20,-(C11-C15))-(-入力!$C$24))*-1),0)</f>
        <v/>
      </c>
      <c r="D22" s="32">
        <f>IF(NOT(ISNUMBER(C22)),"",IF(ABS(C22)&gt;=100000000,TEXT(INT(C22/100000000),"0")&amp;"億"&amp;IF(MOD(C22,100000000)&gt;=10000,TEXT(ROUND(MOD(C22,100000000)/10000,0),"#,##0")&amp;"万円","円"),IF(ABS(C22)&gt;=10000,TEXT(ROUND(C22/10000,0),"#,##0")&amp;"万円",TEXT(C22,"#,##0")&amp;"円")))</f>
        <v/>
      </c>
    </row>
    <row r="24" ht="24" customHeight="1">
      <c r="A24" s="7" t="inlineStr">
        <is>
          <t>Step 4: 別の見方で確認</t>
        </is>
      </c>
      <c r="B24" s="8" t="n"/>
      <c r="C24" s="8" t="n"/>
      <c r="D24" s="8" t="n"/>
      <c r="E24" s="8" t="n"/>
      <c r="F24" s="8" t="n"/>
    </row>
    <row r="25">
      <c r="B25" s="10" t="inlineStr">
        <is>
          <t>現状ペース継続 → 必要額到達は何歳？</t>
        </is>
      </c>
      <c r="C25" s="37">
        <f>IFERROR(入力!$C$5+ROUND(NPER(入力!$C$25/12,-入力!$C$24,-入力!$C$20,C11-入力!$C$19)/12,0)&amp;"歳","計算不能")</f>
        <v/>
      </c>
      <c r="E25" s="6" t="inlineStr">
        <is>
          <t>(月積立を続けて何歳で達成？)</t>
        </is>
      </c>
    </row>
    <row r="26">
      <c r="B26" s="10" t="inlineStr">
        <is>
          <t>達成資産で何年もつ？（運用継続前提）</t>
        </is>
      </c>
      <c r="C26" s="37">
        <f>IF(C10&lt;=0,"永久に",IF(C17*入力!$C$25&gt;=C10,"永久に減らない（運用益で賄える）",IFERROR(ROUND(NPER(入力!$C$25/12,-C10/12,C17)/12,1)&amp;"年","計算不能")))</f>
        <v/>
      </c>
      <c r="E26" s="6" t="inlineStr">
        <is>
          <t>(取崩し中も年利で運用続けた場合)</t>
        </is>
      </c>
    </row>
    <row r="27">
      <c r="B27" s="10" t="inlineStr">
        <is>
          <t>FIRE達成までの月貯蓄ペース</t>
        </is>
      </c>
      <c r="C27" s="22">
        <f>入力!$C$15</f>
        <v/>
      </c>
      <c r="D27" s="12">
        <f>IF(NOT(ISNUMBER(C27)),"",IF(ABS(C27)&gt;=100000000,TEXT(INT(C27/100000000),"0")&amp;"億"&amp;IF(MOD(C27,100000000)&gt;=10000,TEXT(ROUND(MOD(C27,100000000)/10000,0),"#,##0")&amp;"万円","円"),IF(ABS(C27)&gt;=10000,TEXT(ROUND(C27/10000,0),"#,##0")&amp;"万円",TEXT(C27,"#,##0")&amp;"円")))</f>
        <v/>
      </c>
      <c r="E27" s="6" t="inlineStr">
        <is>
          <t>(月収−月生活費)</t>
        </is>
      </c>
    </row>
    <row r="29" ht="24" customHeight="1">
      <c r="A29" s="7" t="inlineStr">
        <is>
          <t>Step 5: ここを動かせば達成できる（自動計算）</t>
        </is>
      </c>
      <c r="B29" s="8" t="n"/>
      <c r="C29" s="8" t="n"/>
      <c r="D29" s="8" t="n"/>
      <c r="E29" s="8" t="n"/>
      <c r="F29" s="8" t="n"/>
    </row>
    <row r="30">
      <c r="B30" s="9" t="inlineStr">
        <is>
          <t>変える項目</t>
        </is>
      </c>
      <c r="C30" s="9" t="inlineStr">
        <is>
          <t>現状</t>
        </is>
      </c>
      <c r="D30" s="9" t="inlineStr">
        <is>
          <t>→ 達成ライン</t>
        </is>
      </c>
      <c r="E30" s="9" t="inlineStr">
        <is>
          <t>一言メモ</t>
        </is>
      </c>
    </row>
    <row r="31" ht="24" customHeight="1">
      <c r="B31" s="18" t="inlineStr">
        <is>
          <t>A. 月積立を増やす</t>
        </is>
      </c>
      <c r="C31" s="38">
        <f>TEXT(ROUND(入力!$C$24/10000,1),"0.0")&amp;"万円/月"</f>
        <v/>
      </c>
      <c r="D31" s="39">
        <f>IF(C17&gt;=C11,"現状で達成済",TEXT(ROUND((入力!$C$24+C22)/10000,1),"0.0")&amp;"万円/月")</f>
        <v/>
      </c>
      <c r="E31" s="13" t="inlineStr">
        <is>
          <t>投資への月積立額</t>
        </is>
      </c>
    </row>
    <row r="32" ht="24" customHeight="1">
      <c r="B32" s="18" t="inlineStr">
        <is>
          <t>B. FIRE開始年齢を遅らせる</t>
        </is>
      </c>
      <c r="C32" s="38">
        <f>入力!$C$6&amp;"歳"</f>
        <v/>
      </c>
      <c r="D32" s="39">
        <f>IF(C17&gt;=C11,"現状で達成済",IFERROR(ROUND(入力!$C$5+NPER(入力!$C$25/12,-入力!$C$24,-入力!$C$20,C11-入力!$C$19)/12,0)&amp;"歳","計算不能"))</f>
        <v/>
      </c>
      <c r="E32" s="13" t="inlineStr">
        <is>
          <t>資産が貯まる年齢まで働く</t>
        </is>
      </c>
    </row>
    <row r="33" ht="24" customHeight="1">
      <c r="B33" s="18" t="inlineStr">
        <is>
          <t>C. FIRE後副業を増やす</t>
        </is>
      </c>
      <c r="C33" s="38">
        <f>TEXT(ROUND(入力!$C$29/10000,1),"0.0")&amp;"万円/月"</f>
        <v/>
      </c>
      <c r="D33" s="39">
        <f>IF(C17&gt;=C11,"現状で達成済",TEXT(ROUND(MAX(入力!$C$29,(C8-C17/25)/12)/10000,1),"0.0")&amp;"万円/月")</f>
        <v/>
      </c>
      <c r="E33" s="13" t="inlineStr">
        <is>
          <t>セミリタイア後の月収</t>
        </is>
      </c>
    </row>
    <row r="34" ht="24" customHeight="1">
      <c r="B34" s="18" t="inlineStr">
        <is>
          <t>D. FIRE後生活費を下げる</t>
        </is>
      </c>
      <c r="C34" s="38">
        <f>TEXT(ROUND(入力!$C$28/10000,1),"0.0")&amp;"万円/月"</f>
        <v/>
      </c>
      <c r="D34" s="39">
        <f>IF(C17&gt;=C11,"現状で達成済",TEXT(ROUND(MIN(入力!$C$28,(C17/25+C9)/12)/10000,1),"0.0")&amp;"万円/月")</f>
        <v/>
      </c>
      <c r="E34" s="13" t="inlineStr">
        <is>
          <t>『生活費』シートのFIRE後を調整</t>
        </is>
      </c>
    </row>
  </sheetData>
  <mergeCells count="1">
    <mergeCell ref="B5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BDEFB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14" customWidth="1" min="4" max="4"/>
    <col width="16" customWidth="1" min="5" max="5"/>
    <col width="16" customWidth="1" min="6" max="6"/>
    <col width="16" customWidth="1" min="7" max="7"/>
    <col width="18" customWidth="1" min="8" max="8"/>
    <col width="4" customWidth="1" min="9" max="9"/>
  </cols>
  <sheetData>
    <row r="1" ht="36" customHeight="1">
      <c r="A1" s="1" t="inlineStr">
        <is>
          <t>🐪</t>
        </is>
      </c>
      <c r="B1" s="2" t="inlineStr">
        <is>
          <t>📊 年次推移｜年齢別の資産</t>
        </is>
      </c>
    </row>
    <row r="2">
      <c r="B2" s="3" t="inlineStr">
        <is>
          <t>現状ペース継続したら各年齢でいくら？</t>
        </is>
      </c>
    </row>
    <row r="4" ht="24" customHeight="1">
      <c r="A4" s="7" t="inlineStr">
        <is>
          <t>現状ペース継続したら各年齢でいくら？</t>
        </is>
      </c>
      <c r="B4" s="8" t="n"/>
      <c r="C4" s="8" t="n"/>
      <c r="D4" s="8" t="n"/>
      <c r="E4" s="8" t="n"/>
      <c r="F4" s="8" t="n"/>
      <c r="G4" s="8" t="n"/>
      <c r="H4" s="8" t="n"/>
      <c r="I4" s="8" t="n"/>
    </row>
    <row r="5">
      <c r="B5" s="9" t="inlineStr">
        <is>
          <t>年齢</t>
        </is>
      </c>
      <c r="C5" s="9" t="inlineStr">
        <is>
          <t>経過</t>
        </is>
      </c>
      <c r="D5" s="9" t="inlineStr">
        <is>
          <t>💧 貯金</t>
        </is>
      </c>
      <c r="E5" s="9" t="inlineStr">
        <is>
          <t>📈 運用FV</t>
        </is>
      </c>
      <c r="F5" s="9" t="inlineStr">
        <is>
          <t>💰 総資産</t>
        </is>
      </c>
      <c r="G5" s="9" t="inlineStr">
        <is>
          <t>総資産（万円表示）</t>
        </is>
      </c>
      <c r="H5" s="9" t="inlineStr">
        <is>
          <t>必要資産との差</t>
        </is>
      </c>
    </row>
    <row r="6">
      <c r="B6" s="40">
        <f>入力!$C$5+0</f>
        <v/>
      </c>
      <c r="C6" s="41" t="n">
        <v>0</v>
      </c>
      <c r="D6" s="42">
        <f>入力!$C$19</f>
        <v/>
      </c>
      <c r="E6" s="43">
        <f>入力!$C$20</f>
        <v/>
      </c>
      <c r="F6" s="44">
        <f>D6+E6</f>
        <v/>
      </c>
      <c r="G6" s="12">
        <f>IF(NOT(ISNUMBER(F6)),"",IF(ABS(F6)&gt;=100000000,TEXT(INT(F6/100000000),"0")&amp;"億"&amp;IF(MOD(F6,100000000)&gt;=10000,TEXT(ROUND(MOD(F6,100000000)/10000,0),"#,##0")&amp;"万円","円"),IF(ABS(F6)&gt;=10000,TEXT(ROUND(F6/10000,0),"#,##0")&amp;"万円",TEXT(F6,"#,##0")&amp;"円")))</f>
        <v/>
      </c>
      <c r="H6" s="45">
        <f>F6-結論!C11</f>
        <v/>
      </c>
    </row>
    <row r="7">
      <c r="B7" s="40">
        <f>入力!$C$5+1</f>
        <v/>
      </c>
      <c r="C7" s="41" t="n">
        <v>1</v>
      </c>
      <c r="D7" s="42">
        <f>入力!$C$19</f>
        <v/>
      </c>
      <c r="E7" s="43">
        <f>FV(入力!$C$25/12,1*12,-入力!$C$24,-入力!$C$20)</f>
        <v/>
      </c>
      <c r="F7" s="44">
        <f>D7+E7</f>
        <v/>
      </c>
      <c r="G7" s="12">
        <f>IF(NOT(ISNUMBER(F7)),"",IF(ABS(F7)&gt;=100000000,TEXT(INT(F7/100000000),"0")&amp;"億"&amp;IF(MOD(F7,100000000)&gt;=10000,TEXT(ROUND(MOD(F7,100000000)/10000,0),"#,##0")&amp;"万円","円"),IF(ABS(F7)&gt;=10000,TEXT(ROUND(F7/10000,0),"#,##0")&amp;"万円",TEXT(F7,"#,##0")&amp;"円")))</f>
        <v/>
      </c>
      <c r="H7" s="45">
        <f>F7-結論!C11</f>
        <v/>
      </c>
    </row>
    <row r="8">
      <c r="B8" s="40">
        <f>入力!$C$5+2</f>
        <v/>
      </c>
      <c r="C8" s="41" t="n">
        <v>2</v>
      </c>
      <c r="D8" s="42">
        <f>入力!$C$19</f>
        <v/>
      </c>
      <c r="E8" s="43">
        <f>FV(入力!$C$25/12,2*12,-入力!$C$24,-入力!$C$20)</f>
        <v/>
      </c>
      <c r="F8" s="44">
        <f>D8+E8</f>
        <v/>
      </c>
      <c r="G8" s="12">
        <f>IF(NOT(ISNUMBER(F8)),"",IF(ABS(F8)&gt;=100000000,TEXT(INT(F8/100000000),"0")&amp;"億"&amp;IF(MOD(F8,100000000)&gt;=10000,TEXT(ROUND(MOD(F8,100000000)/10000,0),"#,##0")&amp;"万円","円"),IF(ABS(F8)&gt;=10000,TEXT(ROUND(F8/10000,0),"#,##0")&amp;"万円",TEXT(F8,"#,##0")&amp;"円")))</f>
        <v/>
      </c>
      <c r="H8" s="45">
        <f>F8-結論!C11</f>
        <v/>
      </c>
    </row>
    <row r="9">
      <c r="B9" s="40">
        <f>入力!$C$5+3</f>
        <v/>
      </c>
      <c r="C9" s="41" t="n">
        <v>3</v>
      </c>
      <c r="D9" s="42">
        <f>入力!$C$19</f>
        <v/>
      </c>
      <c r="E9" s="43">
        <f>FV(入力!$C$25/12,3*12,-入力!$C$24,-入力!$C$20)</f>
        <v/>
      </c>
      <c r="F9" s="44">
        <f>D9+E9</f>
        <v/>
      </c>
      <c r="G9" s="12">
        <f>IF(NOT(ISNUMBER(F9)),"",IF(ABS(F9)&gt;=100000000,TEXT(INT(F9/100000000),"0")&amp;"億"&amp;IF(MOD(F9,100000000)&gt;=10000,TEXT(ROUND(MOD(F9,100000000)/10000,0),"#,##0")&amp;"万円","円"),IF(ABS(F9)&gt;=10000,TEXT(ROUND(F9/10000,0),"#,##0")&amp;"万円",TEXT(F9,"#,##0")&amp;"円")))</f>
        <v/>
      </c>
      <c r="H9" s="45">
        <f>F9-結論!C11</f>
        <v/>
      </c>
    </row>
    <row r="10">
      <c r="B10" s="40">
        <f>入力!$C$5+4</f>
        <v/>
      </c>
      <c r="C10" s="41" t="n">
        <v>4</v>
      </c>
      <c r="D10" s="42">
        <f>入力!$C$19</f>
        <v/>
      </c>
      <c r="E10" s="43">
        <f>FV(入力!$C$25/12,4*12,-入力!$C$24,-入力!$C$20)</f>
        <v/>
      </c>
      <c r="F10" s="44">
        <f>D10+E10</f>
        <v/>
      </c>
      <c r="G10" s="12">
        <f>IF(NOT(ISNUMBER(F10)),"",IF(ABS(F10)&gt;=100000000,TEXT(INT(F10/100000000),"0")&amp;"億"&amp;IF(MOD(F10,100000000)&gt;=10000,TEXT(ROUND(MOD(F10,100000000)/10000,0),"#,##0")&amp;"万円","円"),IF(ABS(F10)&gt;=10000,TEXT(ROUND(F10/10000,0),"#,##0")&amp;"万円",TEXT(F10,"#,##0")&amp;"円")))</f>
        <v/>
      </c>
      <c r="H10" s="45">
        <f>F10-結論!C11</f>
        <v/>
      </c>
    </row>
    <row r="11">
      <c r="B11" s="40">
        <f>入力!$C$5+5</f>
        <v/>
      </c>
      <c r="C11" s="41" t="n">
        <v>5</v>
      </c>
      <c r="D11" s="42">
        <f>入力!$C$19</f>
        <v/>
      </c>
      <c r="E11" s="43">
        <f>FV(入力!$C$25/12,5*12,-入力!$C$24,-入力!$C$20)</f>
        <v/>
      </c>
      <c r="F11" s="44">
        <f>D11+E11</f>
        <v/>
      </c>
      <c r="G11" s="12">
        <f>IF(NOT(ISNUMBER(F11)),"",IF(ABS(F11)&gt;=100000000,TEXT(INT(F11/100000000),"0")&amp;"億"&amp;IF(MOD(F11,100000000)&gt;=10000,TEXT(ROUND(MOD(F11,100000000)/10000,0),"#,##0")&amp;"万円","円"),IF(ABS(F11)&gt;=10000,TEXT(ROUND(F11/10000,0),"#,##0")&amp;"万円",TEXT(F11,"#,##0")&amp;"円")))</f>
        <v/>
      </c>
      <c r="H11" s="45">
        <f>F11-結論!C11</f>
        <v/>
      </c>
    </row>
    <row r="12">
      <c r="B12" s="40">
        <f>入力!$C$5+6</f>
        <v/>
      </c>
      <c r="C12" s="41" t="n">
        <v>6</v>
      </c>
      <c r="D12" s="42">
        <f>入力!$C$19</f>
        <v/>
      </c>
      <c r="E12" s="43">
        <f>FV(入力!$C$25/12,6*12,-入力!$C$24,-入力!$C$20)</f>
        <v/>
      </c>
      <c r="F12" s="44">
        <f>D12+E12</f>
        <v/>
      </c>
      <c r="G12" s="12">
        <f>IF(NOT(ISNUMBER(F12)),"",IF(ABS(F12)&gt;=100000000,TEXT(INT(F12/100000000),"0")&amp;"億"&amp;IF(MOD(F12,100000000)&gt;=10000,TEXT(ROUND(MOD(F12,100000000)/10000,0),"#,##0")&amp;"万円","円"),IF(ABS(F12)&gt;=10000,TEXT(ROUND(F12/10000,0),"#,##0")&amp;"万円",TEXT(F12,"#,##0")&amp;"円")))</f>
        <v/>
      </c>
      <c r="H12" s="45">
        <f>F12-結論!C11</f>
        <v/>
      </c>
    </row>
    <row r="13">
      <c r="B13" s="40">
        <f>入力!$C$5+7</f>
        <v/>
      </c>
      <c r="C13" s="41" t="n">
        <v>7</v>
      </c>
      <c r="D13" s="42">
        <f>入力!$C$19</f>
        <v/>
      </c>
      <c r="E13" s="43">
        <f>FV(入力!$C$25/12,7*12,-入力!$C$24,-入力!$C$20)</f>
        <v/>
      </c>
      <c r="F13" s="44">
        <f>D13+E13</f>
        <v/>
      </c>
      <c r="G13" s="12">
        <f>IF(NOT(ISNUMBER(F13)),"",IF(ABS(F13)&gt;=100000000,TEXT(INT(F13/100000000),"0")&amp;"億"&amp;IF(MOD(F13,100000000)&gt;=10000,TEXT(ROUND(MOD(F13,100000000)/10000,0),"#,##0")&amp;"万円","円"),IF(ABS(F13)&gt;=10000,TEXT(ROUND(F13/10000,0),"#,##0")&amp;"万円",TEXT(F13,"#,##0")&amp;"円")))</f>
        <v/>
      </c>
      <c r="H13" s="45">
        <f>F13-結論!C11</f>
        <v/>
      </c>
    </row>
    <row r="14">
      <c r="B14" s="40">
        <f>入力!$C$5+8</f>
        <v/>
      </c>
      <c r="C14" s="41" t="n">
        <v>8</v>
      </c>
      <c r="D14" s="42">
        <f>入力!$C$19</f>
        <v/>
      </c>
      <c r="E14" s="43">
        <f>FV(入力!$C$25/12,8*12,-入力!$C$24,-入力!$C$20)</f>
        <v/>
      </c>
      <c r="F14" s="44">
        <f>D14+E14</f>
        <v/>
      </c>
      <c r="G14" s="12">
        <f>IF(NOT(ISNUMBER(F14)),"",IF(ABS(F14)&gt;=100000000,TEXT(INT(F14/100000000),"0")&amp;"億"&amp;IF(MOD(F14,100000000)&gt;=10000,TEXT(ROUND(MOD(F14,100000000)/10000,0),"#,##0")&amp;"万円","円"),IF(ABS(F14)&gt;=10000,TEXT(ROUND(F14/10000,0),"#,##0")&amp;"万円",TEXT(F14,"#,##0")&amp;"円")))</f>
        <v/>
      </c>
      <c r="H14" s="45">
        <f>F14-結論!C11</f>
        <v/>
      </c>
    </row>
    <row r="15">
      <c r="B15" s="40">
        <f>入力!$C$5+9</f>
        <v/>
      </c>
      <c r="C15" s="41" t="n">
        <v>9</v>
      </c>
      <c r="D15" s="42">
        <f>入力!$C$19</f>
        <v/>
      </c>
      <c r="E15" s="43">
        <f>FV(入力!$C$25/12,9*12,-入力!$C$24,-入力!$C$20)</f>
        <v/>
      </c>
      <c r="F15" s="44">
        <f>D15+E15</f>
        <v/>
      </c>
      <c r="G15" s="12">
        <f>IF(NOT(ISNUMBER(F15)),"",IF(ABS(F15)&gt;=100000000,TEXT(INT(F15/100000000),"0")&amp;"億"&amp;IF(MOD(F15,100000000)&gt;=10000,TEXT(ROUND(MOD(F15,100000000)/10000,0),"#,##0")&amp;"万円","円"),IF(ABS(F15)&gt;=10000,TEXT(ROUND(F15/10000,0),"#,##0")&amp;"万円",TEXT(F15,"#,##0")&amp;"円")))</f>
        <v/>
      </c>
      <c r="H15" s="45">
        <f>F15-結論!C11</f>
        <v/>
      </c>
    </row>
    <row r="16">
      <c r="B16" s="40">
        <f>入力!$C$5+10</f>
        <v/>
      </c>
      <c r="C16" s="41" t="n">
        <v>10</v>
      </c>
      <c r="D16" s="42">
        <f>入力!$C$19</f>
        <v/>
      </c>
      <c r="E16" s="43">
        <f>FV(入力!$C$25/12,10*12,-入力!$C$24,-入力!$C$20)</f>
        <v/>
      </c>
      <c r="F16" s="44">
        <f>D16+E16</f>
        <v/>
      </c>
      <c r="G16" s="12">
        <f>IF(NOT(ISNUMBER(F16)),"",IF(ABS(F16)&gt;=100000000,TEXT(INT(F16/100000000),"0")&amp;"億"&amp;IF(MOD(F16,100000000)&gt;=10000,TEXT(ROUND(MOD(F16,100000000)/10000,0),"#,##0")&amp;"万円","円"),IF(ABS(F16)&gt;=10000,TEXT(ROUND(F16/10000,0),"#,##0")&amp;"万円",TEXT(F16,"#,##0")&amp;"円")))</f>
        <v/>
      </c>
      <c r="H16" s="45">
        <f>F16-結論!C11</f>
        <v/>
      </c>
    </row>
    <row r="17">
      <c r="B17" s="40">
        <f>入力!$C$5+11</f>
        <v/>
      </c>
      <c r="C17" s="41" t="n">
        <v>11</v>
      </c>
      <c r="D17" s="42">
        <f>入力!$C$19</f>
        <v/>
      </c>
      <c r="E17" s="43">
        <f>FV(入力!$C$25/12,11*12,-入力!$C$24,-入力!$C$20)</f>
        <v/>
      </c>
      <c r="F17" s="44">
        <f>D17+E17</f>
        <v/>
      </c>
      <c r="G17" s="12">
        <f>IF(NOT(ISNUMBER(F17)),"",IF(ABS(F17)&gt;=100000000,TEXT(INT(F17/100000000),"0")&amp;"億"&amp;IF(MOD(F17,100000000)&gt;=10000,TEXT(ROUND(MOD(F17,100000000)/10000,0),"#,##0")&amp;"万円","円"),IF(ABS(F17)&gt;=10000,TEXT(ROUND(F17/10000,0),"#,##0")&amp;"万円",TEXT(F17,"#,##0")&amp;"円")))</f>
        <v/>
      </c>
      <c r="H17" s="45">
        <f>F17-結論!C11</f>
        <v/>
      </c>
    </row>
    <row r="18">
      <c r="B18" s="40">
        <f>入力!$C$5+12</f>
        <v/>
      </c>
      <c r="C18" s="41" t="n">
        <v>12</v>
      </c>
      <c r="D18" s="42">
        <f>入力!$C$19</f>
        <v/>
      </c>
      <c r="E18" s="43">
        <f>FV(入力!$C$25/12,12*12,-入力!$C$24,-入力!$C$20)</f>
        <v/>
      </c>
      <c r="F18" s="44">
        <f>D18+E18</f>
        <v/>
      </c>
      <c r="G18" s="12">
        <f>IF(NOT(ISNUMBER(F18)),"",IF(ABS(F18)&gt;=100000000,TEXT(INT(F18/100000000),"0")&amp;"億"&amp;IF(MOD(F18,100000000)&gt;=10000,TEXT(ROUND(MOD(F18,100000000)/10000,0),"#,##0")&amp;"万円","円"),IF(ABS(F18)&gt;=10000,TEXT(ROUND(F18/10000,0),"#,##0")&amp;"万円",TEXT(F18,"#,##0")&amp;"円")))</f>
        <v/>
      </c>
      <c r="H18" s="45">
        <f>F18-結論!C11</f>
        <v/>
      </c>
    </row>
    <row r="19">
      <c r="B19" s="40">
        <f>入力!$C$5+13</f>
        <v/>
      </c>
      <c r="C19" s="41" t="n">
        <v>13</v>
      </c>
      <c r="D19" s="42">
        <f>入力!$C$19</f>
        <v/>
      </c>
      <c r="E19" s="43">
        <f>FV(入力!$C$25/12,13*12,-入力!$C$24,-入力!$C$20)</f>
        <v/>
      </c>
      <c r="F19" s="44">
        <f>D19+E19</f>
        <v/>
      </c>
      <c r="G19" s="12">
        <f>IF(NOT(ISNUMBER(F19)),"",IF(ABS(F19)&gt;=100000000,TEXT(INT(F19/100000000),"0")&amp;"億"&amp;IF(MOD(F19,100000000)&gt;=10000,TEXT(ROUND(MOD(F19,100000000)/10000,0),"#,##0")&amp;"万円","円"),IF(ABS(F19)&gt;=10000,TEXT(ROUND(F19/10000,0),"#,##0")&amp;"万円",TEXT(F19,"#,##0")&amp;"円")))</f>
        <v/>
      </c>
      <c r="H19" s="45">
        <f>F19-結論!C11</f>
        <v/>
      </c>
    </row>
    <row r="20">
      <c r="B20" s="40">
        <f>入力!$C$5+14</f>
        <v/>
      </c>
      <c r="C20" s="41" t="n">
        <v>14</v>
      </c>
      <c r="D20" s="42">
        <f>入力!$C$19</f>
        <v/>
      </c>
      <c r="E20" s="43">
        <f>FV(入力!$C$25/12,14*12,-入力!$C$24,-入力!$C$20)</f>
        <v/>
      </c>
      <c r="F20" s="44">
        <f>D20+E20</f>
        <v/>
      </c>
      <c r="G20" s="12">
        <f>IF(NOT(ISNUMBER(F20)),"",IF(ABS(F20)&gt;=100000000,TEXT(INT(F20/100000000),"0")&amp;"億"&amp;IF(MOD(F20,100000000)&gt;=10000,TEXT(ROUND(MOD(F20,100000000)/10000,0),"#,##0")&amp;"万円","円"),IF(ABS(F20)&gt;=10000,TEXT(ROUND(F20/10000,0),"#,##0")&amp;"万円",TEXT(F20,"#,##0")&amp;"円")))</f>
        <v/>
      </c>
      <c r="H20" s="45">
        <f>F20-結論!C11</f>
        <v/>
      </c>
    </row>
    <row r="21">
      <c r="B21" s="40">
        <f>入力!$C$5+15</f>
        <v/>
      </c>
      <c r="C21" s="41" t="n">
        <v>15</v>
      </c>
      <c r="D21" s="42">
        <f>入力!$C$19</f>
        <v/>
      </c>
      <c r="E21" s="43">
        <f>FV(入力!$C$25/12,15*12,-入力!$C$24,-入力!$C$20)</f>
        <v/>
      </c>
      <c r="F21" s="44">
        <f>D21+E21</f>
        <v/>
      </c>
      <c r="G21" s="12">
        <f>IF(NOT(ISNUMBER(F21)),"",IF(ABS(F21)&gt;=100000000,TEXT(INT(F21/100000000),"0")&amp;"億"&amp;IF(MOD(F21,100000000)&gt;=10000,TEXT(ROUND(MOD(F21,100000000)/10000,0),"#,##0")&amp;"万円","円"),IF(ABS(F21)&gt;=10000,TEXT(ROUND(F21/10000,0),"#,##0")&amp;"万円",TEXT(F21,"#,##0")&amp;"円")))</f>
        <v/>
      </c>
      <c r="H21" s="45">
        <f>F21-結論!C11</f>
        <v/>
      </c>
    </row>
    <row r="22">
      <c r="B22" s="40">
        <f>入力!$C$5+16</f>
        <v/>
      </c>
      <c r="C22" s="41" t="n">
        <v>16</v>
      </c>
      <c r="D22" s="42">
        <f>入力!$C$19</f>
        <v/>
      </c>
      <c r="E22" s="43">
        <f>FV(入力!$C$25/12,16*12,-入力!$C$24,-入力!$C$20)</f>
        <v/>
      </c>
      <c r="F22" s="44">
        <f>D22+E22</f>
        <v/>
      </c>
      <c r="G22" s="12">
        <f>IF(NOT(ISNUMBER(F22)),"",IF(ABS(F22)&gt;=100000000,TEXT(INT(F22/100000000),"0")&amp;"億"&amp;IF(MOD(F22,100000000)&gt;=10000,TEXT(ROUND(MOD(F22,100000000)/10000,0),"#,##0")&amp;"万円","円"),IF(ABS(F22)&gt;=10000,TEXT(ROUND(F22/10000,0),"#,##0")&amp;"万円",TEXT(F22,"#,##0")&amp;"円")))</f>
        <v/>
      </c>
      <c r="H22" s="45">
        <f>F22-結論!C11</f>
        <v/>
      </c>
    </row>
    <row r="23">
      <c r="B23" s="40">
        <f>入力!$C$5+17</f>
        <v/>
      </c>
      <c r="C23" s="41" t="n">
        <v>17</v>
      </c>
      <c r="D23" s="42">
        <f>入力!$C$19</f>
        <v/>
      </c>
      <c r="E23" s="43">
        <f>FV(入力!$C$25/12,17*12,-入力!$C$24,-入力!$C$20)</f>
        <v/>
      </c>
      <c r="F23" s="44">
        <f>D23+E23</f>
        <v/>
      </c>
      <c r="G23" s="12">
        <f>IF(NOT(ISNUMBER(F23)),"",IF(ABS(F23)&gt;=100000000,TEXT(INT(F23/100000000),"0")&amp;"億"&amp;IF(MOD(F23,100000000)&gt;=10000,TEXT(ROUND(MOD(F23,100000000)/10000,0),"#,##0")&amp;"万円","円"),IF(ABS(F23)&gt;=10000,TEXT(ROUND(F23/10000,0),"#,##0")&amp;"万円",TEXT(F23,"#,##0")&amp;"円")))</f>
        <v/>
      </c>
      <c r="H23" s="45">
        <f>F23-結論!C11</f>
        <v/>
      </c>
    </row>
    <row r="24">
      <c r="B24" s="40">
        <f>入力!$C$5+18</f>
        <v/>
      </c>
      <c r="C24" s="41" t="n">
        <v>18</v>
      </c>
      <c r="D24" s="42">
        <f>入力!$C$19</f>
        <v/>
      </c>
      <c r="E24" s="43">
        <f>FV(入力!$C$25/12,18*12,-入力!$C$24,-入力!$C$20)</f>
        <v/>
      </c>
      <c r="F24" s="44">
        <f>D24+E24</f>
        <v/>
      </c>
      <c r="G24" s="12">
        <f>IF(NOT(ISNUMBER(F24)),"",IF(ABS(F24)&gt;=100000000,TEXT(INT(F24/100000000),"0")&amp;"億"&amp;IF(MOD(F24,100000000)&gt;=10000,TEXT(ROUND(MOD(F24,100000000)/10000,0),"#,##0")&amp;"万円","円"),IF(ABS(F24)&gt;=10000,TEXT(ROUND(F24/10000,0),"#,##0")&amp;"万円",TEXT(F24,"#,##0")&amp;"円")))</f>
        <v/>
      </c>
      <c r="H24" s="45">
        <f>F24-結論!C11</f>
        <v/>
      </c>
    </row>
    <row r="25">
      <c r="B25" s="40">
        <f>入力!$C$5+19</f>
        <v/>
      </c>
      <c r="C25" s="41" t="n">
        <v>19</v>
      </c>
      <c r="D25" s="42">
        <f>入力!$C$19</f>
        <v/>
      </c>
      <c r="E25" s="43">
        <f>FV(入力!$C$25/12,19*12,-入力!$C$24,-入力!$C$20)</f>
        <v/>
      </c>
      <c r="F25" s="44">
        <f>D25+E25</f>
        <v/>
      </c>
      <c r="G25" s="12">
        <f>IF(NOT(ISNUMBER(F25)),"",IF(ABS(F25)&gt;=100000000,TEXT(INT(F25/100000000),"0")&amp;"億"&amp;IF(MOD(F25,100000000)&gt;=10000,TEXT(ROUND(MOD(F25,100000000)/10000,0),"#,##0")&amp;"万円","円"),IF(ABS(F25)&gt;=10000,TEXT(ROUND(F25/10000,0),"#,##0")&amp;"万円",TEXT(F25,"#,##0")&amp;"円")))</f>
        <v/>
      </c>
      <c r="H25" s="45">
        <f>F25-結論!C11</f>
        <v/>
      </c>
    </row>
    <row r="26">
      <c r="B26" s="40">
        <f>入力!$C$5+20</f>
        <v/>
      </c>
      <c r="C26" s="41" t="n">
        <v>20</v>
      </c>
      <c r="D26" s="42">
        <f>入力!$C$19</f>
        <v/>
      </c>
      <c r="E26" s="43">
        <f>FV(入力!$C$25/12,20*12,-入力!$C$24,-入力!$C$20)</f>
        <v/>
      </c>
      <c r="F26" s="44">
        <f>D26+E26</f>
        <v/>
      </c>
      <c r="G26" s="12">
        <f>IF(NOT(ISNUMBER(F26)),"",IF(ABS(F26)&gt;=100000000,TEXT(INT(F26/100000000),"0")&amp;"億"&amp;IF(MOD(F26,100000000)&gt;=10000,TEXT(ROUND(MOD(F26,100000000)/10000,0),"#,##0")&amp;"万円","円"),IF(ABS(F26)&gt;=10000,TEXT(ROUND(F26/10000,0),"#,##0")&amp;"万円",TEXT(F26,"#,##0")&amp;"円")))</f>
        <v/>
      </c>
      <c r="H26" s="45">
        <f>F26-結論!C11</f>
        <v/>
      </c>
    </row>
    <row r="27">
      <c r="B27" s="40">
        <f>入力!$C$5+21</f>
        <v/>
      </c>
      <c r="C27" s="41" t="n">
        <v>21</v>
      </c>
      <c r="D27" s="42">
        <f>入力!$C$19</f>
        <v/>
      </c>
      <c r="E27" s="43">
        <f>FV(入力!$C$25/12,21*12,-入力!$C$24,-入力!$C$20)</f>
        <v/>
      </c>
      <c r="F27" s="44">
        <f>D27+E27</f>
        <v/>
      </c>
      <c r="G27" s="12">
        <f>IF(NOT(ISNUMBER(F27)),"",IF(ABS(F27)&gt;=100000000,TEXT(INT(F27/100000000),"0")&amp;"億"&amp;IF(MOD(F27,100000000)&gt;=10000,TEXT(ROUND(MOD(F27,100000000)/10000,0),"#,##0")&amp;"万円","円"),IF(ABS(F27)&gt;=10000,TEXT(ROUND(F27/10000,0),"#,##0")&amp;"万円",TEXT(F27,"#,##0")&amp;"円")))</f>
        <v/>
      </c>
      <c r="H27" s="45">
        <f>F27-結論!C11</f>
        <v/>
      </c>
    </row>
    <row r="28">
      <c r="B28" s="40">
        <f>入力!$C$5+22</f>
        <v/>
      </c>
      <c r="C28" s="41" t="n">
        <v>22</v>
      </c>
      <c r="D28" s="42">
        <f>入力!$C$19</f>
        <v/>
      </c>
      <c r="E28" s="43">
        <f>FV(入力!$C$25/12,22*12,-入力!$C$24,-入力!$C$20)</f>
        <v/>
      </c>
      <c r="F28" s="44">
        <f>D28+E28</f>
        <v/>
      </c>
      <c r="G28" s="12">
        <f>IF(NOT(ISNUMBER(F28)),"",IF(ABS(F28)&gt;=100000000,TEXT(INT(F28/100000000),"0")&amp;"億"&amp;IF(MOD(F28,100000000)&gt;=10000,TEXT(ROUND(MOD(F28,100000000)/10000,0),"#,##0")&amp;"万円","円"),IF(ABS(F28)&gt;=10000,TEXT(ROUND(F28/10000,0),"#,##0")&amp;"万円",TEXT(F28,"#,##0")&amp;"円")))</f>
        <v/>
      </c>
      <c r="H28" s="45">
        <f>F28-結論!C11</f>
        <v/>
      </c>
    </row>
    <row r="29">
      <c r="B29" s="40">
        <f>入力!$C$5+23</f>
        <v/>
      </c>
      <c r="C29" s="41" t="n">
        <v>23</v>
      </c>
      <c r="D29" s="42">
        <f>入力!$C$19</f>
        <v/>
      </c>
      <c r="E29" s="43">
        <f>FV(入力!$C$25/12,23*12,-入力!$C$24,-入力!$C$20)</f>
        <v/>
      </c>
      <c r="F29" s="44">
        <f>D29+E29</f>
        <v/>
      </c>
      <c r="G29" s="12">
        <f>IF(NOT(ISNUMBER(F29)),"",IF(ABS(F29)&gt;=100000000,TEXT(INT(F29/100000000),"0")&amp;"億"&amp;IF(MOD(F29,100000000)&gt;=10000,TEXT(ROUND(MOD(F29,100000000)/10000,0),"#,##0")&amp;"万円","円"),IF(ABS(F29)&gt;=10000,TEXT(ROUND(F29/10000,0),"#,##0")&amp;"万円",TEXT(F29,"#,##0")&amp;"円")))</f>
        <v/>
      </c>
      <c r="H29" s="45">
        <f>F29-結論!C11</f>
        <v/>
      </c>
    </row>
    <row r="30">
      <c r="B30" s="40">
        <f>入力!$C$5+24</f>
        <v/>
      </c>
      <c r="C30" s="41" t="n">
        <v>24</v>
      </c>
      <c r="D30" s="42">
        <f>入力!$C$19</f>
        <v/>
      </c>
      <c r="E30" s="43">
        <f>FV(入力!$C$25/12,24*12,-入力!$C$24,-入力!$C$20)</f>
        <v/>
      </c>
      <c r="F30" s="44">
        <f>D30+E30</f>
        <v/>
      </c>
      <c r="G30" s="12">
        <f>IF(NOT(ISNUMBER(F30)),"",IF(ABS(F30)&gt;=100000000,TEXT(INT(F30/100000000),"0")&amp;"億"&amp;IF(MOD(F30,100000000)&gt;=10000,TEXT(ROUND(MOD(F30,100000000)/10000,0),"#,##0")&amp;"万円","円"),IF(ABS(F30)&gt;=10000,TEXT(ROUND(F30/10000,0),"#,##0")&amp;"万円",TEXT(F30,"#,##0")&amp;"円")))</f>
        <v/>
      </c>
      <c r="H30" s="45">
        <f>F30-結論!C11</f>
        <v/>
      </c>
    </row>
    <row r="31">
      <c r="B31" s="40">
        <f>入力!$C$5+25</f>
        <v/>
      </c>
      <c r="C31" s="41" t="n">
        <v>25</v>
      </c>
      <c r="D31" s="42">
        <f>入力!$C$19</f>
        <v/>
      </c>
      <c r="E31" s="43">
        <f>FV(入力!$C$25/12,25*12,-入力!$C$24,-入力!$C$20)</f>
        <v/>
      </c>
      <c r="F31" s="44">
        <f>D31+E31</f>
        <v/>
      </c>
      <c r="G31" s="12">
        <f>IF(NOT(ISNUMBER(F31)),"",IF(ABS(F31)&gt;=100000000,TEXT(INT(F31/100000000),"0")&amp;"億"&amp;IF(MOD(F31,100000000)&gt;=10000,TEXT(ROUND(MOD(F31,100000000)/10000,0),"#,##0")&amp;"万円","円"),IF(ABS(F31)&gt;=10000,TEXT(ROUND(F31/10000,0),"#,##0")&amp;"万円",TEXT(F31,"#,##0")&amp;"円")))</f>
        <v/>
      </c>
      <c r="H31" s="45">
        <f>F31-結論!C11</f>
        <v/>
      </c>
    </row>
    <row r="32">
      <c r="B32" s="40">
        <f>入力!$C$5+26</f>
        <v/>
      </c>
      <c r="C32" s="41" t="n">
        <v>26</v>
      </c>
      <c r="D32" s="42">
        <f>入力!$C$19</f>
        <v/>
      </c>
      <c r="E32" s="43">
        <f>FV(入力!$C$25/12,26*12,-入力!$C$24,-入力!$C$20)</f>
        <v/>
      </c>
      <c r="F32" s="44">
        <f>D32+E32</f>
        <v/>
      </c>
      <c r="G32" s="12">
        <f>IF(NOT(ISNUMBER(F32)),"",IF(ABS(F32)&gt;=100000000,TEXT(INT(F32/100000000),"0")&amp;"億"&amp;IF(MOD(F32,100000000)&gt;=10000,TEXT(ROUND(MOD(F32,100000000)/10000,0),"#,##0")&amp;"万円","円"),IF(ABS(F32)&gt;=10000,TEXT(ROUND(F32/10000,0),"#,##0")&amp;"万円",TEXT(F32,"#,##0")&amp;"円")))</f>
        <v/>
      </c>
      <c r="H32" s="45">
        <f>F32-結論!C11</f>
        <v/>
      </c>
    </row>
    <row r="33">
      <c r="B33" s="40">
        <f>入力!$C$5+27</f>
        <v/>
      </c>
      <c r="C33" s="41" t="n">
        <v>27</v>
      </c>
      <c r="D33" s="42">
        <f>入力!$C$19</f>
        <v/>
      </c>
      <c r="E33" s="43">
        <f>FV(入力!$C$25/12,27*12,-入力!$C$24,-入力!$C$20)</f>
        <v/>
      </c>
      <c r="F33" s="44">
        <f>D33+E33</f>
        <v/>
      </c>
      <c r="G33" s="12">
        <f>IF(NOT(ISNUMBER(F33)),"",IF(ABS(F33)&gt;=100000000,TEXT(INT(F33/100000000),"0")&amp;"億"&amp;IF(MOD(F33,100000000)&gt;=10000,TEXT(ROUND(MOD(F33,100000000)/10000,0),"#,##0")&amp;"万円","円"),IF(ABS(F33)&gt;=10000,TEXT(ROUND(F33/10000,0),"#,##0")&amp;"万円",TEXT(F33,"#,##0")&amp;"円")))</f>
        <v/>
      </c>
      <c r="H33" s="45">
        <f>F33-結論!C11</f>
        <v/>
      </c>
    </row>
    <row r="34">
      <c r="B34" s="40">
        <f>入力!$C$5+28</f>
        <v/>
      </c>
      <c r="C34" s="41" t="n">
        <v>28</v>
      </c>
      <c r="D34" s="42">
        <f>入力!$C$19</f>
        <v/>
      </c>
      <c r="E34" s="43">
        <f>FV(入力!$C$25/12,28*12,-入力!$C$24,-入力!$C$20)</f>
        <v/>
      </c>
      <c r="F34" s="44">
        <f>D34+E34</f>
        <v/>
      </c>
      <c r="G34" s="12">
        <f>IF(NOT(ISNUMBER(F34)),"",IF(ABS(F34)&gt;=100000000,TEXT(INT(F34/100000000),"0")&amp;"億"&amp;IF(MOD(F34,100000000)&gt;=10000,TEXT(ROUND(MOD(F34,100000000)/10000,0),"#,##0")&amp;"万円","円"),IF(ABS(F34)&gt;=10000,TEXT(ROUND(F34/10000,0),"#,##0")&amp;"万円",TEXT(F34,"#,##0")&amp;"円")))</f>
        <v/>
      </c>
      <c r="H34" s="45">
        <f>F34-結論!C11</f>
        <v/>
      </c>
    </row>
    <row r="35">
      <c r="B35" s="40">
        <f>入力!$C$5+29</f>
        <v/>
      </c>
      <c r="C35" s="41" t="n">
        <v>29</v>
      </c>
      <c r="D35" s="42">
        <f>入力!$C$19</f>
        <v/>
      </c>
      <c r="E35" s="43">
        <f>FV(入力!$C$25/12,29*12,-入力!$C$24,-入力!$C$20)</f>
        <v/>
      </c>
      <c r="F35" s="44">
        <f>D35+E35</f>
        <v/>
      </c>
      <c r="G35" s="12">
        <f>IF(NOT(ISNUMBER(F35)),"",IF(ABS(F35)&gt;=100000000,TEXT(INT(F35/100000000),"0")&amp;"億"&amp;IF(MOD(F35,100000000)&gt;=10000,TEXT(ROUND(MOD(F35,100000000)/10000,0),"#,##0")&amp;"万円","円"),IF(ABS(F35)&gt;=10000,TEXT(ROUND(F35/10000,0),"#,##0")&amp;"万円",TEXT(F35,"#,##0")&amp;"円")))</f>
        <v/>
      </c>
      <c r="H35" s="45">
        <f>F35-結論!C11</f>
        <v/>
      </c>
    </row>
    <row r="36">
      <c r="B36" s="40">
        <f>入力!$C$5+30</f>
        <v/>
      </c>
      <c r="C36" s="41" t="n">
        <v>30</v>
      </c>
      <c r="D36" s="42">
        <f>入力!$C$19</f>
        <v/>
      </c>
      <c r="E36" s="43">
        <f>FV(入力!$C$25/12,30*12,-入力!$C$24,-入力!$C$20)</f>
        <v/>
      </c>
      <c r="F36" s="44">
        <f>D36+E36</f>
        <v/>
      </c>
      <c r="G36" s="12">
        <f>IF(NOT(ISNUMBER(F36)),"",IF(ABS(F36)&gt;=100000000,TEXT(INT(F36/100000000),"0")&amp;"億"&amp;IF(MOD(F36,100000000)&gt;=10000,TEXT(ROUND(MOD(F36,100000000)/10000,0),"#,##0")&amp;"万円","円"),IF(ABS(F36)&gt;=10000,TEXT(ROUND(F36/10000,0),"#,##0")&amp;"万円",TEXT(F36,"#,##0")&amp;"円")))</f>
        <v/>
      </c>
      <c r="H36" s="45">
        <f>F36-結論!C11</f>
        <v/>
      </c>
    </row>
    <row r="37">
      <c r="B37" s="40">
        <f>入力!$C$5+31</f>
        <v/>
      </c>
      <c r="C37" s="41" t="n">
        <v>31</v>
      </c>
      <c r="D37" s="42">
        <f>入力!$C$19</f>
        <v/>
      </c>
      <c r="E37" s="43">
        <f>FV(入力!$C$25/12,31*12,-入力!$C$24,-入力!$C$20)</f>
        <v/>
      </c>
      <c r="F37" s="44">
        <f>D37+E37</f>
        <v/>
      </c>
      <c r="G37" s="12">
        <f>IF(NOT(ISNUMBER(F37)),"",IF(ABS(F37)&gt;=100000000,TEXT(INT(F37/100000000),"0")&amp;"億"&amp;IF(MOD(F37,100000000)&gt;=10000,TEXT(ROUND(MOD(F37,100000000)/10000,0),"#,##0")&amp;"万円","円"),IF(ABS(F37)&gt;=10000,TEXT(ROUND(F37/10000,0),"#,##0")&amp;"万円",TEXT(F37,"#,##0")&amp;"円")))</f>
        <v/>
      </c>
      <c r="H37" s="45">
        <f>F37-結論!C11</f>
        <v/>
      </c>
    </row>
    <row r="38">
      <c r="B38" s="40">
        <f>入力!$C$5+32</f>
        <v/>
      </c>
      <c r="C38" s="41" t="n">
        <v>32</v>
      </c>
      <c r="D38" s="42">
        <f>入力!$C$19</f>
        <v/>
      </c>
      <c r="E38" s="43">
        <f>FV(入力!$C$25/12,32*12,-入力!$C$24,-入力!$C$20)</f>
        <v/>
      </c>
      <c r="F38" s="44">
        <f>D38+E38</f>
        <v/>
      </c>
      <c r="G38" s="12">
        <f>IF(NOT(ISNUMBER(F38)),"",IF(ABS(F38)&gt;=100000000,TEXT(INT(F38/100000000),"0")&amp;"億"&amp;IF(MOD(F38,100000000)&gt;=10000,TEXT(ROUND(MOD(F38,100000000)/10000,0),"#,##0")&amp;"万円","円"),IF(ABS(F38)&gt;=10000,TEXT(ROUND(F38/10000,0),"#,##0")&amp;"万円",TEXT(F38,"#,##0")&amp;"円")))</f>
        <v/>
      </c>
      <c r="H38" s="45">
        <f>F38-結論!C11</f>
        <v/>
      </c>
    </row>
    <row r="39">
      <c r="B39" s="40">
        <f>入力!$C$5+33</f>
        <v/>
      </c>
      <c r="C39" s="41" t="n">
        <v>33</v>
      </c>
      <c r="D39" s="42">
        <f>入力!$C$19</f>
        <v/>
      </c>
      <c r="E39" s="43">
        <f>FV(入力!$C$25/12,33*12,-入力!$C$24,-入力!$C$20)</f>
        <v/>
      </c>
      <c r="F39" s="44">
        <f>D39+E39</f>
        <v/>
      </c>
      <c r="G39" s="12">
        <f>IF(NOT(ISNUMBER(F39)),"",IF(ABS(F39)&gt;=100000000,TEXT(INT(F39/100000000),"0")&amp;"億"&amp;IF(MOD(F39,100000000)&gt;=10000,TEXT(ROUND(MOD(F39,100000000)/10000,0),"#,##0")&amp;"万円","円"),IF(ABS(F39)&gt;=10000,TEXT(ROUND(F39/10000,0),"#,##0")&amp;"万円",TEXT(F39,"#,##0")&amp;"円")))</f>
        <v/>
      </c>
      <c r="H39" s="45">
        <f>F39-結論!C11</f>
        <v/>
      </c>
    </row>
    <row r="40">
      <c r="B40" s="40">
        <f>入力!$C$5+34</f>
        <v/>
      </c>
      <c r="C40" s="41" t="n">
        <v>34</v>
      </c>
      <c r="D40" s="42">
        <f>入力!$C$19</f>
        <v/>
      </c>
      <c r="E40" s="43">
        <f>FV(入力!$C$25/12,34*12,-入力!$C$24,-入力!$C$20)</f>
        <v/>
      </c>
      <c r="F40" s="44">
        <f>D40+E40</f>
        <v/>
      </c>
      <c r="G40" s="12">
        <f>IF(NOT(ISNUMBER(F40)),"",IF(ABS(F40)&gt;=100000000,TEXT(INT(F40/100000000),"0")&amp;"億"&amp;IF(MOD(F40,100000000)&gt;=10000,TEXT(ROUND(MOD(F40,100000000)/10000,0),"#,##0")&amp;"万円","円"),IF(ABS(F40)&gt;=10000,TEXT(ROUND(F40/10000,0),"#,##0")&amp;"万円",TEXT(F40,"#,##0")&amp;"円")))</f>
        <v/>
      </c>
      <c r="H40" s="45">
        <f>F40-結論!C11</f>
        <v/>
      </c>
    </row>
    <row r="41">
      <c r="B41" s="40">
        <f>入力!$C$5+35</f>
        <v/>
      </c>
      <c r="C41" s="41" t="n">
        <v>35</v>
      </c>
      <c r="D41" s="42">
        <f>入力!$C$19</f>
        <v/>
      </c>
      <c r="E41" s="43">
        <f>FV(入力!$C$25/12,35*12,-入力!$C$24,-入力!$C$20)</f>
        <v/>
      </c>
      <c r="F41" s="44">
        <f>D41+E41</f>
        <v/>
      </c>
      <c r="G41" s="12">
        <f>IF(NOT(ISNUMBER(F41)),"",IF(ABS(F41)&gt;=100000000,TEXT(INT(F41/100000000),"0")&amp;"億"&amp;IF(MOD(F41,100000000)&gt;=10000,TEXT(ROUND(MOD(F41,100000000)/10000,0),"#,##0")&amp;"万円","円"),IF(ABS(F41)&gt;=10000,TEXT(ROUND(F41/10000,0),"#,##0")&amp;"万円",TEXT(F41,"#,##0")&amp;"円")))</f>
        <v/>
      </c>
      <c r="H41" s="45">
        <f>F41-結論!C11</f>
        <v/>
      </c>
    </row>
    <row r="42">
      <c r="B42" s="40">
        <f>入力!$C$5+36</f>
        <v/>
      </c>
      <c r="C42" s="41" t="n">
        <v>36</v>
      </c>
      <c r="D42" s="42">
        <f>入力!$C$19</f>
        <v/>
      </c>
      <c r="E42" s="43">
        <f>FV(入力!$C$25/12,36*12,-入力!$C$24,-入力!$C$20)</f>
        <v/>
      </c>
      <c r="F42" s="44">
        <f>D42+E42</f>
        <v/>
      </c>
      <c r="G42" s="12">
        <f>IF(NOT(ISNUMBER(F42)),"",IF(ABS(F42)&gt;=100000000,TEXT(INT(F42/100000000),"0")&amp;"億"&amp;IF(MOD(F42,100000000)&gt;=10000,TEXT(ROUND(MOD(F42,100000000)/10000,0),"#,##0")&amp;"万円","円"),IF(ABS(F42)&gt;=10000,TEXT(ROUND(F42/10000,0),"#,##0")&amp;"万円",TEXT(F42,"#,##0")&amp;"円")))</f>
        <v/>
      </c>
      <c r="H42" s="45">
        <f>F42-結論!C11</f>
        <v/>
      </c>
    </row>
    <row r="43">
      <c r="B43" s="40">
        <f>入力!$C$5+37</f>
        <v/>
      </c>
      <c r="C43" s="41" t="n">
        <v>37</v>
      </c>
      <c r="D43" s="42">
        <f>入力!$C$19</f>
        <v/>
      </c>
      <c r="E43" s="43">
        <f>FV(入力!$C$25/12,37*12,-入力!$C$24,-入力!$C$20)</f>
        <v/>
      </c>
      <c r="F43" s="44">
        <f>D43+E43</f>
        <v/>
      </c>
      <c r="G43" s="12">
        <f>IF(NOT(ISNUMBER(F43)),"",IF(ABS(F43)&gt;=100000000,TEXT(INT(F43/100000000),"0")&amp;"億"&amp;IF(MOD(F43,100000000)&gt;=10000,TEXT(ROUND(MOD(F43,100000000)/10000,0),"#,##0")&amp;"万円","円"),IF(ABS(F43)&gt;=10000,TEXT(ROUND(F43/10000,0),"#,##0")&amp;"万円",TEXT(F43,"#,##0")&amp;"円")))</f>
        <v/>
      </c>
      <c r="H43" s="45">
        <f>F43-結論!C11</f>
        <v/>
      </c>
    </row>
    <row r="44">
      <c r="B44" s="40">
        <f>入力!$C$5+38</f>
        <v/>
      </c>
      <c r="C44" s="41" t="n">
        <v>38</v>
      </c>
      <c r="D44" s="42">
        <f>入力!$C$19</f>
        <v/>
      </c>
      <c r="E44" s="43">
        <f>FV(入力!$C$25/12,38*12,-入力!$C$24,-入力!$C$20)</f>
        <v/>
      </c>
      <c r="F44" s="44">
        <f>D44+E44</f>
        <v/>
      </c>
      <c r="G44" s="12">
        <f>IF(NOT(ISNUMBER(F44)),"",IF(ABS(F44)&gt;=100000000,TEXT(INT(F44/100000000),"0")&amp;"億"&amp;IF(MOD(F44,100000000)&gt;=10000,TEXT(ROUND(MOD(F44,100000000)/10000,0),"#,##0")&amp;"万円","円"),IF(ABS(F44)&gt;=10000,TEXT(ROUND(F44/10000,0),"#,##0")&amp;"万円",TEXT(F44,"#,##0")&amp;"円")))</f>
        <v/>
      </c>
      <c r="H44" s="45">
        <f>F44-結論!C11</f>
        <v/>
      </c>
    </row>
    <row r="45">
      <c r="B45" s="40">
        <f>入力!$C$5+39</f>
        <v/>
      </c>
      <c r="C45" s="41" t="n">
        <v>39</v>
      </c>
      <c r="D45" s="42">
        <f>入力!$C$19</f>
        <v/>
      </c>
      <c r="E45" s="43">
        <f>FV(入力!$C$25/12,39*12,-入力!$C$24,-入力!$C$20)</f>
        <v/>
      </c>
      <c r="F45" s="44">
        <f>D45+E45</f>
        <v/>
      </c>
      <c r="G45" s="12">
        <f>IF(NOT(ISNUMBER(F45)),"",IF(ABS(F45)&gt;=100000000,TEXT(INT(F45/100000000),"0")&amp;"億"&amp;IF(MOD(F45,100000000)&gt;=10000,TEXT(ROUND(MOD(F45,100000000)/10000,0),"#,##0")&amp;"万円","円"),IF(ABS(F45)&gt;=10000,TEXT(ROUND(F45/10000,0),"#,##0")&amp;"万円",TEXT(F45,"#,##0")&amp;"円")))</f>
        <v/>
      </c>
      <c r="H45" s="45">
        <f>F45-結論!C11</f>
        <v/>
      </c>
    </row>
    <row r="46">
      <c r="B46" s="40">
        <f>入力!$C$5+40</f>
        <v/>
      </c>
      <c r="C46" s="41" t="n">
        <v>40</v>
      </c>
      <c r="D46" s="42">
        <f>入力!$C$19</f>
        <v/>
      </c>
      <c r="E46" s="43">
        <f>FV(入力!$C$25/12,40*12,-入力!$C$24,-入力!$C$20)</f>
        <v/>
      </c>
      <c r="F46" s="44">
        <f>D46+E46</f>
        <v/>
      </c>
      <c r="G46" s="12">
        <f>IF(NOT(ISNUMBER(F46)),"",IF(ABS(F46)&gt;=100000000,TEXT(INT(F46/100000000),"0")&amp;"億"&amp;IF(MOD(F46,100000000)&gt;=10000,TEXT(ROUND(MOD(F46,100000000)/10000,0),"#,##0")&amp;"万円","円"),IF(ABS(F46)&gt;=10000,TEXT(ROUND(F46/10000,0),"#,##0")&amp;"万円",TEXT(F46,"#,##0")&amp;"円")))</f>
        <v/>
      </c>
      <c r="H46" s="45">
        <f>F46-結論!C11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1C4E9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12" customWidth="1" min="4" max="4"/>
    <col width="14" customWidth="1" min="5" max="5"/>
    <col width="18" customWidth="1" min="6" max="6"/>
    <col width="18" customWidth="1" min="7" max="7"/>
    <col width="30" customWidth="1" min="8" max="8"/>
  </cols>
  <sheetData>
    <row r="1" ht="36" customHeight="1">
      <c r="A1" s="1" t="inlineStr">
        <is>
          <t>🐪</t>
        </is>
      </c>
      <c r="B1" s="2" t="inlineStr">
        <is>
          <t>🔄 FIRE試算｜5パターン比較</t>
        </is>
      </c>
    </row>
    <row r="4" ht="24" customHeight="1">
      <c r="A4" s="7" t="inlineStr">
        <is>
          <t>月積立や期間を変えるとどうなる？</t>
        </is>
      </c>
      <c r="B4" s="8" t="n"/>
      <c r="C4" s="8" t="n"/>
      <c r="D4" s="8" t="n"/>
      <c r="E4" s="8" t="n"/>
      <c r="F4" s="8" t="n"/>
      <c r="G4" s="8" t="n"/>
      <c r="H4" s="8" t="n"/>
    </row>
    <row r="5">
      <c r="B5" s="9" t="inlineStr">
        <is>
          <t>シナリオ</t>
        </is>
      </c>
      <c r="C5" s="9" t="inlineStr">
        <is>
          <t>月積立</t>
        </is>
      </c>
      <c r="D5" s="9" t="inlineStr">
        <is>
          <t>年利</t>
        </is>
      </c>
      <c r="E5" s="9" t="inlineStr">
        <is>
          <t>期間(年)</t>
        </is>
      </c>
      <c r="F5" s="9" t="inlineStr">
        <is>
          <t>予想総資産</t>
        </is>
      </c>
      <c r="G5" s="9" t="inlineStr">
        <is>
          <t>予想総資産（万円）</t>
        </is>
      </c>
      <c r="H5" s="9" t="inlineStr">
        <is>
          <t>備考</t>
        </is>
      </c>
    </row>
    <row r="6">
      <c r="B6" s="46" t="inlineStr">
        <is>
          <t>①現状ペース</t>
        </is>
      </c>
      <c r="C6" s="47">
        <f>入力!$C$24</f>
        <v/>
      </c>
      <c r="D6" s="48">
        <f>入力!$C$25</f>
        <v/>
      </c>
      <c r="E6" s="49" t="n">
        <v>10</v>
      </c>
      <c r="F6" s="50">
        <f>FV(D6/12,E6*12,-C6,-入力!$C$20)+入力!$C$19</f>
        <v/>
      </c>
      <c r="G6" s="16">
        <f>IF(NOT(ISNUMBER(F6)),"",IF(ABS(F6)&gt;=100000000,TEXT(INT(F6/100000000),"0")&amp;"億"&amp;IF(MOD(F6,100000000)&gt;=10000,TEXT(ROUND(MOD(F6,100000000)/10000,0),"#,##0")&amp;"万円","円"),IF(ABS(F6)&gt;=10000,TEXT(ROUND(F6/10000,0),"#,##0")&amp;"万円",TEXT(F6,"#,##0")&amp;"円")))</f>
        <v/>
      </c>
      <c r="H6" s="13" t="inlineStr">
        <is>
          <t>あなたの入力値そのまま</t>
        </is>
      </c>
    </row>
    <row r="7">
      <c r="B7" s="46" t="inlineStr">
        <is>
          <t>②積立 +5万</t>
        </is>
      </c>
      <c r="C7" s="47">
        <f>入力!$C$24+50000</f>
        <v/>
      </c>
      <c r="D7" s="48">
        <f>入力!$C$25</f>
        <v/>
      </c>
      <c r="E7" s="49" t="n">
        <v>10</v>
      </c>
      <c r="F7" s="50">
        <f>FV(D7/12,E7*12,-C7,-入力!$C$20)+入力!$C$19</f>
        <v/>
      </c>
      <c r="G7" s="16">
        <f>IF(NOT(ISNUMBER(F7)),"",IF(ABS(F7)&gt;=100000000,TEXT(INT(F7/100000000),"0")&amp;"億"&amp;IF(MOD(F7,100000000)&gt;=10000,TEXT(ROUND(MOD(F7,100000000)/10000,0),"#,##0")&amp;"万円","円"),IF(ABS(F7)&gt;=10000,TEXT(ROUND(F7/10000,0),"#,##0")&amp;"万円",TEXT(F7,"#,##0")&amp;"円")))</f>
        <v/>
      </c>
      <c r="H7" s="13" t="inlineStr">
        <is>
          <t>月積立を5万増やす</t>
        </is>
      </c>
    </row>
    <row r="8">
      <c r="B8" s="46" t="inlineStr">
        <is>
          <t>③年利 +1%</t>
        </is>
      </c>
      <c r="C8" s="47">
        <f>入力!$C$24</f>
        <v/>
      </c>
      <c r="D8" s="48">
        <f>入力!$C$25+0.01</f>
        <v/>
      </c>
      <c r="E8" s="49" t="n">
        <v>10</v>
      </c>
      <c r="F8" s="50">
        <f>FV(D8/12,E8*12,-C8,-入力!$C$20)+入力!$C$19</f>
        <v/>
      </c>
      <c r="G8" s="16">
        <f>IF(NOT(ISNUMBER(F8)),"",IF(ABS(F8)&gt;=100000000,TEXT(INT(F8/100000000),"0")&amp;"億"&amp;IF(MOD(F8,100000000)&gt;=10000,TEXT(ROUND(MOD(F8,100000000)/10000,0),"#,##0")&amp;"万円","円"),IF(ABS(F8)&gt;=10000,TEXT(ROUND(F8/10000,0),"#,##0")&amp;"万円",TEXT(F8,"#,##0")&amp;"円")))</f>
        <v/>
      </c>
      <c r="H8" s="13" t="inlineStr">
        <is>
          <t>投資配分をやや攻めに</t>
        </is>
      </c>
    </row>
    <row r="9">
      <c r="B9" s="46" t="inlineStr">
        <is>
          <t>④期間 +5年</t>
        </is>
      </c>
      <c r="C9" s="47">
        <f>入力!$C$24</f>
        <v/>
      </c>
      <c r="D9" s="48">
        <f>入力!$C$25</f>
        <v/>
      </c>
      <c r="E9" s="49" t="n">
        <v>15</v>
      </c>
      <c r="F9" s="50">
        <f>FV(D9/12,E9*12,-C9,-入力!$C$20)+入力!$C$19</f>
        <v/>
      </c>
      <c r="G9" s="16">
        <f>IF(NOT(ISNUMBER(F9)),"",IF(ABS(F9)&gt;=100000000,TEXT(INT(F9/100000000),"0")&amp;"億"&amp;IF(MOD(F9,100000000)&gt;=10000,TEXT(ROUND(MOD(F9,100000000)/10000,0),"#,##0")&amp;"万円","円"),IF(ABS(F9)&gt;=10000,TEXT(ROUND(F9/10000,0),"#,##0")&amp;"万円",TEXT(F9,"#,##0")&amp;"円")))</f>
        <v/>
      </c>
      <c r="H9" s="13" t="inlineStr">
        <is>
          <t>5年長く働く</t>
        </is>
      </c>
    </row>
    <row r="10">
      <c r="B10" s="46" t="inlineStr">
        <is>
          <t>⑤積立0で運用のみ</t>
        </is>
      </c>
      <c r="C10" s="47" t="n">
        <v>0</v>
      </c>
      <c r="D10" s="48">
        <f>入力!$C$25</f>
        <v/>
      </c>
      <c r="E10" s="49" t="n">
        <v>10</v>
      </c>
      <c r="F10" s="50">
        <f>FV(D10/12,E10*12,-C10,-入力!$C$20)+入力!$C$19</f>
        <v/>
      </c>
      <c r="G10" s="16">
        <f>IF(NOT(ISNUMBER(F10)),"",IF(ABS(F10)&gt;=100000000,TEXT(INT(F10/100000000),"0")&amp;"億"&amp;IF(MOD(F10,100000000)&gt;=10000,TEXT(ROUND(MOD(F10,100000000)/10000,0),"#,##0")&amp;"万円","円"),IF(ABS(F10)&gt;=10000,TEXT(ROUND(F10/10000,0),"#,##0")&amp;"万円",TEXT(F10,"#,##0")&amp;"円")))</f>
        <v/>
      </c>
      <c r="H10" s="13" t="inlineStr">
        <is>
          <t>今ある資産だけ運用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8D5A7"/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" customWidth="1" min="1" max="1"/>
    <col width="95" customWidth="1" min="2" max="2"/>
  </cols>
  <sheetData>
    <row r="1">
      <c r="A1" t="inlineStr">
        <is>
          <t>🐪</t>
        </is>
      </c>
      <c r="B1" s="51" t="inlineStr">
        <is>
          <t>残業嫌いのらくだ先生</t>
        </is>
      </c>
    </row>
    <row r="2">
      <c r="A2" t="inlineStr"/>
      <c r="B2" s="4" t="inlineStr"/>
    </row>
    <row r="3">
      <c r="A3" t="inlineStr">
        <is>
          <t>■</t>
        </is>
      </c>
      <c r="B3" s="5" t="inlineStr">
        <is>
          <t>プロフィール</t>
        </is>
      </c>
    </row>
    <row r="4">
      <c r="A4" t="inlineStr"/>
      <c r="B4" s="4" t="inlineStr">
        <is>
          <t>公立中学校教員（国語・20代）</t>
        </is>
      </c>
    </row>
    <row r="5">
      <c r="A5" t="inlineStr"/>
      <c r="B5" s="4" t="inlineStr">
        <is>
          <t>ICT・AIで残業ゼロ ｜ 副業10万 ｜ 5年で2000万円貯金</t>
        </is>
      </c>
    </row>
    <row r="6">
      <c r="A6" t="inlineStr"/>
      <c r="B6" s="4" t="inlineStr">
        <is>
          <t>日本株デイトレで-50万やった失敗から、低リスクインデックス投資に振り切り。</t>
        </is>
      </c>
    </row>
    <row r="7">
      <c r="A7" t="inlineStr"/>
      <c r="B7" s="4" t="inlineStr"/>
    </row>
    <row r="8">
      <c r="A8" t="inlineStr">
        <is>
          <t>■</t>
        </is>
      </c>
      <c r="B8" s="5" t="inlineStr">
        <is>
          <t>発信中</t>
        </is>
      </c>
    </row>
    <row r="9">
      <c r="A9" t="inlineStr"/>
      <c r="B9" s="4" t="inlineStr">
        <is>
          <t>X (Twitter): @rakuda_sensei</t>
        </is>
      </c>
    </row>
    <row r="10">
      <c r="A10" t="inlineStr"/>
      <c r="B10" s="4" t="inlineStr">
        <is>
          <t>note: https://note.com/rakuda_sensei</t>
        </is>
      </c>
    </row>
    <row r="11">
      <c r="A11" t="inlineStr"/>
      <c r="B11" s="4" t="inlineStr">
        <is>
          <t>BOOTH: https://rakuda-sensei.booth.pm</t>
        </is>
      </c>
    </row>
    <row r="12">
      <c r="A12" t="inlineStr"/>
      <c r="B12" s="4" t="inlineStr"/>
    </row>
    <row r="13">
      <c r="A13" t="inlineStr">
        <is>
          <t>■</t>
        </is>
      </c>
      <c r="B13" s="5" t="inlineStr">
        <is>
          <t>ご利用について</t>
        </is>
      </c>
    </row>
    <row r="14">
      <c r="A14" t="inlineStr"/>
      <c r="B14" s="4" t="inlineStr">
        <is>
          <t>・本商品の個人利用は自由</t>
        </is>
      </c>
    </row>
    <row r="15">
      <c r="A15" t="inlineStr"/>
      <c r="B15" s="4" t="inlineStr">
        <is>
          <t>・二次配布・転売は禁止</t>
        </is>
      </c>
    </row>
    <row r="16">
      <c r="A16" t="inlineStr"/>
      <c r="B16" s="4" t="inlineStr">
        <is>
          <t>・本商品の数式・テンプレで生じた結果について作者は責任を負いません</t>
        </is>
      </c>
    </row>
    <row r="17">
      <c r="A17" t="inlineStr"/>
      <c r="B17" s="4" t="inlineStr">
        <is>
          <t>・改善要望・不具合報告は X DM までお気軽に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2026-06-02T09:41:26Z</dcterms:created>
  <dcterms:modified xsi:type="dcterms:W3CDTF">2026-06-02T09:41:26Z</dcterms:modified>
</cp:coreProperties>
</file>